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FITS\enderezados\recortes_Schneider\estudio_Deltav\"/>
    </mc:Choice>
  </mc:AlternateContent>
  <xr:revisionPtr revIDLastSave="0" documentId="13_ncr:1_{A4A402D7-1911-48FC-B250-F5A0B8C1420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sumen" sheetId="12" r:id="rId1"/>
    <sheet name="velac" sheetId="1" r:id="rId2"/>
    <sheet name="dr15" sheetId="2" r:id="rId3"/>
    <sheet name="m16" sheetId="3" r:id="rId4"/>
    <sheet name="m17" sheetId="4" r:id="rId5"/>
    <sheet name="monob1" sheetId="5" r:id="rId6"/>
    <sheet name="monr2" sheetId="6" r:id="rId7"/>
    <sheet name="ngc2264" sheetId="7" r:id="rId8"/>
    <sheet name="ngc6334" sheetId="8" r:id="rId9"/>
    <sheet name="ngc6357" sheetId="9" r:id="rId10"/>
    <sheet name="ngc7538" sheetId="10" r:id="rId11"/>
    <sheet name="rosette" sheetId="11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12" l="1"/>
  <c r="D3" i="12"/>
  <c r="D4" i="12"/>
  <c r="D5" i="12"/>
  <c r="D6" i="12"/>
  <c r="D7" i="12"/>
  <c r="D8" i="12"/>
  <c r="D9" i="12"/>
  <c r="D10" i="12"/>
  <c r="D11" i="12"/>
  <c r="D12" i="12"/>
  <c r="D2" i="12"/>
</calcChain>
</file>

<file path=xl/sharedStrings.xml><?xml version="1.0" encoding="utf-8"?>
<sst xmlns="http://schemas.openxmlformats.org/spreadsheetml/2006/main" count="139" uniqueCount="27">
  <si>
    <t>Lag_arcmin</t>
  </si>
  <si>
    <t>DeltaVar</t>
  </si>
  <si>
    <t>Error</t>
  </si>
  <si>
    <t>Parametro</t>
  </si>
  <si>
    <t>Valor</t>
  </si>
  <si>
    <t>beta_schneider</t>
  </si>
  <si>
    <t>beta_calculado</t>
  </si>
  <si>
    <t>alpha</t>
  </si>
  <si>
    <t>R2</t>
  </si>
  <si>
    <t>P1_pc</t>
  </si>
  <si>
    <t>P1_arcmin</t>
  </si>
  <si>
    <t>Region</t>
  </si>
  <si>
    <t>Beta_Schneider</t>
  </si>
  <si>
    <t>Beta_Calculado</t>
  </si>
  <si>
    <t>Alpha</t>
  </si>
  <si>
    <t>velac</t>
  </si>
  <si>
    <t>dr15</t>
  </si>
  <si>
    <t>m16</t>
  </si>
  <si>
    <t>m17</t>
  </si>
  <si>
    <t>monob1</t>
  </si>
  <si>
    <t>monr2</t>
  </si>
  <si>
    <t>ngc2264</t>
  </si>
  <si>
    <t>ngc6334</t>
  </si>
  <si>
    <t>ngc6357</t>
  </si>
  <si>
    <t>ngc7538</t>
  </si>
  <si>
    <t>rosette</t>
  </si>
  <si>
    <t>Desviación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</si>
</sst>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1" applyNumberFormat="1" applyFont="1"/>
    <xf numFmtId="0" fontId="0" fillId="2" borderId="0" xfId="0" applyFill="1"/>
    <xf numFmtId="10" fontId="0" fillId="2" borderId="0" xfId="1" applyNumberFormat="1" applyFont="1" applyFill="1"/>
    <xf numFmtId="2" fontId="0" fillId="0" borderId="0" xfId="0" applyNumberFormat="1"/>
    <xf numFmtId="2" fontId="0" fillId="2" borderId="0" xfId="0" applyNumberFormat="1" applyFill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4"/>
  <sheetViews>
    <sheetView tabSelected="1" workbookViewId="0">
      <selection activeCell="D12" sqref="D12"/>
    </sheetView>
  </sheetViews>
  <sheetFormatPr baseColWidth="10" defaultColWidth="9.140625" defaultRowHeight="15" x14ac:dyDescent="0.25"/>
  <cols>
    <col min="2" max="2" width="15.85546875" customWidth="1"/>
    <col min="3" max="4" width="14.140625" customWidth="1"/>
  </cols>
  <sheetData>
    <row r="1" spans="1:13" x14ac:dyDescent="0.25">
      <c r="A1" s="1" t="s">
        <v>11</v>
      </c>
      <c r="B1" s="1" t="s">
        <v>12</v>
      </c>
      <c r="C1" s="1" t="s">
        <v>13</v>
      </c>
      <c r="D1" s="1" t="s">
        <v>26</v>
      </c>
      <c r="E1" s="1" t="s">
        <v>14</v>
      </c>
      <c r="F1" s="1" t="s">
        <v>8</v>
      </c>
      <c r="G1" s="1" t="s">
        <v>9</v>
      </c>
    </row>
    <row r="2" spans="1:13" x14ac:dyDescent="0.25">
      <c r="A2" t="s">
        <v>15</v>
      </c>
      <c r="B2">
        <v>2.2999999999999998</v>
      </c>
      <c r="C2" s="5">
        <v>2.5182796401192742</v>
      </c>
      <c r="D2" s="2">
        <f>(C2-B2)/C2</f>
        <v>8.667807841584102E-2</v>
      </c>
      <c r="E2">
        <v>0.51827964011927385</v>
      </c>
      <c r="F2">
        <v>0.88182717036111435</v>
      </c>
      <c r="G2">
        <v>1.83</v>
      </c>
    </row>
    <row r="3" spans="1:13" x14ac:dyDescent="0.25">
      <c r="A3" t="s">
        <v>16</v>
      </c>
      <c r="B3">
        <v>2.17</v>
      </c>
      <c r="C3" s="5">
        <v>2.5048072641912591</v>
      </c>
      <c r="D3" s="2">
        <f t="shared" ref="D3:D12" si="0">(C3-B3)/C3</f>
        <v>0.13366587879940545</v>
      </c>
      <c r="E3">
        <v>0.50480726419125876</v>
      </c>
      <c r="F3">
        <v>0.87532581012861854</v>
      </c>
      <c r="G3">
        <v>1.42</v>
      </c>
      <c r="L3">
        <v>2.2999999999999998</v>
      </c>
      <c r="M3" s="5">
        <v>2.5182796401192742</v>
      </c>
    </row>
    <row r="4" spans="1:13" x14ac:dyDescent="0.25">
      <c r="A4" t="s">
        <v>17</v>
      </c>
      <c r="B4">
        <v>2.17</v>
      </c>
      <c r="C4" s="5">
        <v>2.438709371916802</v>
      </c>
      <c r="D4" s="2">
        <f t="shared" si="0"/>
        <v>0.11018507371610219</v>
      </c>
      <c r="E4">
        <v>0.43870937191680248</v>
      </c>
      <c r="F4">
        <v>0.81639673643056554</v>
      </c>
      <c r="G4">
        <v>2.62</v>
      </c>
      <c r="L4">
        <v>2.17</v>
      </c>
      <c r="M4" s="5">
        <v>2.5048072641912591</v>
      </c>
    </row>
    <row r="5" spans="1:13" x14ac:dyDescent="0.25">
      <c r="A5" t="s">
        <v>18</v>
      </c>
      <c r="B5">
        <v>2.2200000000000002</v>
      </c>
      <c r="C5" s="5">
        <v>2.5032162764649919</v>
      </c>
      <c r="D5" s="2">
        <f t="shared" si="0"/>
        <v>0.11314095355154286</v>
      </c>
      <c r="E5">
        <v>0.50321627646499212</v>
      </c>
      <c r="F5">
        <v>0.95305608330007729</v>
      </c>
      <c r="G5">
        <v>2.57</v>
      </c>
      <c r="L5">
        <v>2.17</v>
      </c>
      <c r="M5" s="5">
        <v>2.438709371916802</v>
      </c>
    </row>
    <row r="6" spans="1:13" x14ac:dyDescent="0.25">
      <c r="A6" t="s">
        <v>19</v>
      </c>
      <c r="B6">
        <v>3.38</v>
      </c>
      <c r="C6" s="5">
        <v>2.9132102092135161</v>
      </c>
      <c r="D6" s="2">
        <f t="shared" si="0"/>
        <v>-0.16023210041973035</v>
      </c>
      <c r="E6">
        <v>0.9132102092135157</v>
      </c>
      <c r="F6">
        <v>0.96668956795833594</v>
      </c>
      <c r="G6">
        <v>0.76</v>
      </c>
      <c r="L6">
        <v>2.2200000000000002</v>
      </c>
      <c r="M6" s="5">
        <v>2.5032162764649919</v>
      </c>
    </row>
    <row r="7" spans="1:13" x14ac:dyDescent="0.25">
      <c r="A7" t="s">
        <v>20</v>
      </c>
      <c r="B7">
        <v>2.2000000000000002</v>
      </c>
      <c r="C7" s="5">
        <v>2.4204196060990948</v>
      </c>
      <c r="D7" s="2">
        <f t="shared" si="0"/>
        <v>9.106669171893593E-2</v>
      </c>
      <c r="E7">
        <v>0.42041960609909501</v>
      </c>
      <c r="F7">
        <v>0.95972448694188572</v>
      </c>
      <c r="G7">
        <v>0.37</v>
      </c>
      <c r="L7">
        <v>3.38</v>
      </c>
      <c r="M7" s="5">
        <v>2.9132102092135161</v>
      </c>
    </row>
    <row r="8" spans="1:13" x14ac:dyDescent="0.25">
      <c r="A8" t="s">
        <v>21</v>
      </c>
      <c r="B8">
        <v>2.8</v>
      </c>
      <c r="C8" s="5">
        <v>2.89087468662659</v>
      </c>
      <c r="D8" s="2">
        <f t="shared" si="0"/>
        <v>3.1435014131530326E-2</v>
      </c>
      <c r="E8">
        <v>0.89087468662658975</v>
      </c>
      <c r="F8">
        <v>0.99292712902051761</v>
      </c>
      <c r="G8">
        <v>0.98</v>
      </c>
      <c r="L8">
        <v>2.2000000000000002</v>
      </c>
      <c r="M8" s="5">
        <v>2.4204196060990948</v>
      </c>
    </row>
    <row r="9" spans="1:13" x14ac:dyDescent="0.25">
      <c r="A9" s="3" t="s">
        <v>22</v>
      </c>
      <c r="B9" s="3">
        <v>2.41</v>
      </c>
      <c r="C9" s="6">
        <v>8.990283985943881E-2</v>
      </c>
      <c r="D9" s="4">
        <f t="shared" si="0"/>
        <v>-25.806717160080641</v>
      </c>
      <c r="E9" s="3">
        <v>-1.910097160140561</v>
      </c>
      <c r="F9" s="3">
        <v>0.99994276304142726</v>
      </c>
      <c r="G9" s="3">
        <v>1.1000000000000001</v>
      </c>
      <c r="L9">
        <v>2.8</v>
      </c>
      <c r="M9" s="5">
        <v>2.89087468662659</v>
      </c>
    </row>
    <row r="10" spans="1:13" x14ac:dyDescent="0.25">
      <c r="A10" t="s">
        <v>23</v>
      </c>
      <c r="B10">
        <v>2.02</v>
      </c>
      <c r="C10" s="5">
        <v>2.3180701503233521</v>
      </c>
      <c r="D10" s="2">
        <f t="shared" si="0"/>
        <v>0.12858547455165395</v>
      </c>
      <c r="E10">
        <v>0.31807015032335201</v>
      </c>
      <c r="F10">
        <v>0.81366565502468668</v>
      </c>
      <c r="G10">
        <v>2.5299999999999998</v>
      </c>
      <c r="L10">
        <v>2.02</v>
      </c>
      <c r="M10" s="5">
        <v>2.3180701503233521</v>
      </c>
    </row>
    <row r="11" spans="1:13" x14ac:dyDescent="0.25">
      <c r="A11" t="s">
        <v>24</v>
      </c>
      <c r="B11">
        <v>2.93</v>
      </c>
      <c r="C11" s="5">
        <v>2.6352330495164669</v>
      </c>
      <c r="D11" s="2">
        <f t="shared" si="0"/>
        <v>-0.11185612237886111</v>
      </c>
      <c r="E11">
        <v>0.6352330495164672</v>
      </c>
      <c r="F11">
        <v>0.94120441978840408</v>
      </c>
      <c r="G11">
        <v>2.1</v>
      </c>
      <c r="L11">
        <v>2.93</v>
      </c>
      <c r="M11" s="5">
        <v>2.6352330495164669</v>
      </c>
    </row>
    <row r="12" spans="1:13" x14ac:dyDescent="0.25">
      <c r="A12" t="s">
        <v>25</v>
      </c>
      <c r="B12">
        <v>2.42</v>
      </c>
      <c r="C12" s="5">
        <v>2.5299481825389232</v>
      </c>
      <c r="D12" s="2">
        <f t="shared" si="0"/>
        <v>4.3458669745791004E-2</v>
      </c>
      <c r="E12">
        <v>0.52994818253892317</v>
      </c>
      <c r="F12">
        <v>0.96196608023388108</v>
      </c>
      <c r="G12">
        <v>4.76</v>
      </c>
      <c r="L12">
        <v>2.42</v>
      </c>
      <c r="M12" s="5">
        <v>2.5299481825389232</v>
      </c>
    </row>
    <row r="14" spans="1:13" x14ac:dyDescent="0.25">
      <c r="L14">
        <f>RSQ(L3:L12,M3:M12)</f>
        <v>0.81831009903854179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workbookViewId="0">
      <selection activeCell="J9" sqref="J9"/>
    </sheetView>
  </sheetViews>
  <sheetFormatPr baseColWidth="10" defaultColWidth="9.140625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F1" s="1" t="s">
        <v>3</v>
      </c>
      <c r="G1" s="1" t="s">
        <v>4</v>
      </c>
    </row>
    <row r="2" spans="1:7" x14ac:dyDescent="0.25">
      <c r="A2">
        <v>0.14999999999999941</v>
      </c>
      <c r="B2">
        <v>7.8045714933743665E-4</v>
      </c>
      <c r="C2">
        <v>4.9339232065529712E-5</v>
      </c>
      <c r="F2" t="s">
        <v>5</v>
      </c>
      <c r="G2">
        <v>2.2999999999999998</v>
      </c>
    </row>
    <row r="3" spans="1:7" x14ac:dyDescent="0.25">
      <c r="A3">
        <v>0.1859347673773894</v>
      </c>
      <c r="B3">
        <v>1.4456414212881061E-3</v>
      </c>
      <c r="C3">
        <v>1.1430047965805749E-4</v>
      </c>
      <c r="F3" t="s">
        <v>6</v>
      </c>
      <c r="G3">
        <v>2.5182796401192742</v>
      </c>
    </row>
    <row r="4" spans="1:7" x14ac:dyDescent="0.25">
      <c r="A4">
        <v>0.23047825146456041</v>
      </c>
      <c r="B4">
        <v>2.6966557506161522E-3</v>
      </c>
      <c r="C4">
        <v>2.5067138333091183E-4</v>
      </c>
      <c r="F4" t="s">
        <v>7</v>
      </c>
      <c r="G4">
        <v>0.51827964011927385</v>
      </c>
    </row>
    <row r="5" spans="1:7" x14ac:dyDescent="0.25">
      <c r="A5">
        <v>0.28569280047740442</v>
      </c>
      <c r="B5">
        <v>4.2953186646371754E-3</v>
      </c>
      <c r="C5">
        <v>4.5922071949285379E-4</v>
      </c>
      <c r="F5" t="s">
        <v>8</v>
      </c>
      <c r="G5">
        <v>0.88182717036111435</v>
      </c>
    </row>
    <row r="6" spans="1:7" x14ac:dyDescent="0.25">
      <c r="A6">
        <v>0.35413482932107548</v>
      </c>
      <c r="B6">
        <v>6.5885655107186386E-3</v>
      </c>
      <c r="C6">
        <v>7.8830779793012294E-4</v>
      </c>
      <c r="F6" t="s">
        <v>9</v>
      </c>
      <c r="G6">
        <v>1.83</v>
      </c>
    </row>
    <row r="7" spans="1:7" x14ac:dyDescent="0.25">
      <c r="A7">
        <v>0.43897318073363961</v>
      </c>
      <c r="B7">
        <v>9.1896367282114262E-3</v>
      </c>
      <c r="C7">
        <v>1.1963511899223741E-3</v>
      </c>
      <c r="F7" t="s">
        <v>10</v>
      </c>
      <c r="G7">
        <v>8.9872522721949135</v>
      </c>
    </row>
    <row r="8" spans="1:7" x14ac:dyDescent="0.25">
      <c r="A8">
        <v>0.54413584163081552</v>
      </c>
      <c r="B8">
        <v>1.2219082504368621E-2</v>
      </c>
      <c r="C8">
        <v>1.6878834593068389E-3</v>
      </c>
    </row>
    <row r="9" spans="1:7" x14ac:dyDescent="0.25">
      <c r="A9">
        <v>0.67449180756884042</v>
      </c>
      <c r="B9">
        <v>1.5403222825656111E-2</v>
      </c>
      <c r="C9">
        <v>2.22601667806838E-3</v>
      </c>
    </row>
    <row r="10" spans="1:7" x14ac:dyDescent="0.25">
      <c r="A10">
        <v>0.83607651558845186</v>
      </c>
      <c r="B10">
        <v>1.8527584840629059E-2</v>
      </c>
      <c r="C10">
        <v>2.7780035819952652E-3</v>
      </c>
    </row>
    <row r="11" spans="1:7" x14ac:dyDescent="0.25">
      <c r="A11">
        <v>1.0363712829042511</v>
      </c>
      <c r="B11">
        <v>2.1301201452187831E-2</v>
      </c>
      <c r="C11">
        <v>3.3310732870624029E-3</v>
      </c>
    </row>
    <row r="12" spans="1:7" x14ac:dyDescent="0.25">
      <c r="A12">
        <v>1.2846496893560619</v>
      </c>
      <c r="B12">
        <v>2.4224778313632071E-2</v>
      </c>
      <c r="C12">
        <v>3.9530167127983283E-3</v>
      </c>
    </row>
    <row r="13" spans="1:7" x14ac:dyDescent="0.25">
      <c r="A13">
        <v>1.5924069410123729</v>
      </c>
      <c r="B13">
        <v>2.7120344051643399E-2</v>
      </c>
      <c r="C13">
        <v>4.6318114691888687E-3</v>
      </c>
    </row>
    <row r="14" spans="1:7" x14ac:dyDescent="0.25">
      <c r="A14">
        <v>1.9738920943151801</v>
      </c>
      <c r="B14">
        <v>2.9765271962420708E-2</v>
      </c>
      <c r="C14">
        <v>5.3552065208535577E-3</v>
      </c>
    </row>
    <row r="15" spans="1:7" x14ac:dyDescent="0.25">
      <c r="A15">
        <v>2.4467677825637488</v>
      </c>
      <c r="B15">
        <v>3.2057999888636231E-2</v>
      </c>
      <c r="C15">
        <v>6.0873041892340772E-3</v>
      </c>
    </row>
    <row r="16" spans="1:7" x14ac:dyDescent="0.25">
      <c r="A16">
        <v>3.03292798984989</v>
      </c>
      <c r="B16">
        <v>3.4295215655059143E-2</v>
      </c>
      <c r="C16">
        <v>6.817597092525325E-3</v>
      </c>
    </row>
    <row r="17" spans="1:3" x14ac:dyDescent="0.25">
      <c r="A17">
        <v>3.759511735100765</v>
      </c>
      <c r="B17">
        <v>3.6304548250102292E-2</v>
      </c>
      <c r="C17">
        <v>7.4860728377293337E-3</v>
      </c>
    </row>
    <row r="18" spans="1:3" x14ac:dyDescent="0.25">
      <c r="A18">
        <v>4.6601595994568621</v>
      </c>
      <c r="B18">
        <v>3.8116644809057902E-2</v>
      </c>
      <c r="C18">
        <v>8.0624150920031723E-3</v>
      </c>
    </row>
    <row r="19" spans="1:3" x14ac:dyDescent="0.25">
      <c r="A19">
        <v>5.7765712737768222</v>
      </c>
      <c r="B19">
        <v>3.9297405712930333E-2</v>
      </c>
      <c r="C19">
        <v>8.451106709882519E-3</v>
      </c>
    </row>
    <row r="20" spans="1:3" x14ac:dyDescent="0.25">
      <c r="A20">
        <v>7.1604362401907213</v>
      </c>
      <c r="B20">
        <v>4.0123768017856963E-2</v>
      </c>
      <c r="C20">
        <v>8.861397111714903E-3</v>
      </c>
    </row>
    <row r="21" spans="1:3" x14ac:dyDescent="0.25">
      <c r="A21">
        <v>8.8758269776033085</v>
      </c>
      <c r="B21">
        <v>4.1208210033047657E-2</v>
      </c>
      <c r="C21">
        <v>9.5692995016067855E-3</v>
      </c>
    </row>
    <row r="22" spans="1:3" x14ac:dyDescent="0.25">
      <c r="A22">
        <v>11.002165495750891</v>
      </c>
      <c r="B22">
        <v>4.4696325566779257E-2</v>
      </c>
      <c r="C22">
        <v>1.110532566937069E-2</v>
      </c>
    </row>
    <row r="23" spans="1:3" x14ac:dyDescent="0.25">
      <c r="A23">
        <v>13.63790054733327</v>
      </c>
      <c r="B23">
        <v>5.246619768845269E-2</v>
      </c>
      <c r="C23">
        <v>1.391975216143654E-2</v>
      </c>
    </row>
    <row r="24" spans="1:3" x14ac:dyDescent="0.25">
      <c r="A24">
        <v>16.905065771895959</v>
      </c>
      <c r="B24">
        <v>6.3287142167207641E-2</v>
      </c>
      <c r="C24">
        <v>1.8308482194247619E-2</v>
      </c>
    </row>
    <row r="25" spans="1:3" x14ac:dyDescent="0.25">
      <c r="A25">
        <v>20.95492981197971</v>
      </c>
      <c r="B25">
        <v>7.4023060861343998E-2</v>
      </c>
      <c r="C25">
        <v>2.2395239591097241E-2</v>
      </c>
    </row>
    <row r="26" spans="1:3" x14ac:dyDescent="0.25">
      <c r="A26">
        <v>25.974999999999909</v>
      </c>
      <c r="B26">
        <v>7.1116258023966497E-2</v>
      </c>
      <c r="C26">
        <v>2.3577065474685389E-2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6"/>
  <sheetViews>
    <sheetView workbookViewId="0">
      <selection activeCell="I4" sqref="I4"/>
    </sheetView>
  </sheetViews>
  <sheetFormatPr baseColWidth="10" defaultColWidth="9.140625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F1" s="1" t="s">
        <v>3</v>
      </c>
      <c r="G1" s="1" t="s">
        <v>4</v>
      </c>
    </row>
    <row r="2" spans="1:7" x14ac:dyDescent="0.25">
      <c r="A2">
        <v>0.14999999999999941</v>
      </c>
      <c r="B2">
        <v>1.5911632154634979E-4</v>
      </c>
      <c r="C2">
        <v>1.1053286220310909E-5</v>
      </c>
      <c r="F2" t="s">
        <v>5</v>
      </c>
      <c r="G2">
        <v>2.17</v>
      </c>
    </row>
    <row r="3" spans="1:7" x14ac:dyDescent="0.25">
      <c r="A3">
        <v>0.18960049228700979</v>
      </c>
      <c r="B3">
        <v>2.85900137760337E-4</v>
      </c>
      <c r="C3">
        <v>2.5900606277761968E-5</v>
      </c>
      <c r="F3" t="s">
        <v>6</v>
      </c>
      <c r="G3">
        <v>2.5048072641912591</v>
      </c>
    </row>
    <row r="4" spans="1:7" x14ac:dyDescent="0.25">
      <c r="A4">
        <v>0.2396556445031772</v>
      </c>
      <c r="B4">
        <v>5.2639826483944494E-4</v>
      </c>
      <c r="C4">
        <v>6.194842784478244E-5</v>
      </c>
      <c r="F4" t="s">
        <v>7</v>
      </c>
      <c r="G4">
        <v>0.50480726419125876</v>
      </c>
    </row>
    <row r="5" spans="1:7" x14ac:dyDescent="0.25">
      <c r="A5">
        <v>0.30292552118108779</v>
      </c>
      <c r="B5">
        <v>8.6493395931882687E-4</v>
      </c>
      <c r="C5">
        <v>1.248790251305882E-4</v>
      </c>
      <c r="F5" t="s">
        <v>8</v>
      </c>
      <c r="G5">
        <v>0.87532581012861854</v>
      </c>
    </row>
    <row r="6" spans="1:7" x14ac:dyDescent="0.25">
      <c r="A6">
        <v>0.38289885294822329</v>
      </c>
      <c r="B6">
        <v>1.2801779109842279E-3</v>
      </c>
      <c r="C6">
        <v>2.2148234027979949E-4</v>
      </c>
      <c r="F6" t="s">
        <v>9</v>
      </c>
      <c r="G6">
        <v>1.42</v>
      </c>
    </row>
    <row r="7" spans="1:7" x14ac:dyDescent="0.25">
      <c r="A7">
        <v>0.4839854067674319</v>
      </c>
      <c r="B7">
        <v>1.7591627694693811E-3</v>
      </c>
      <c r="C7">
        <v>3.4526569538573173E-4</v>
      </c>
      <c r="F7" t="s">
        <v>10</v>
      </c>
      <c r="G7">
        <v>3.4868574389390101</v>
      </c>
    </row>
    <row r="8" spans="1:7" x14ac:dyDescent="0.25">
      <c r="A8">
        <v>0.61175914255222719</v>
      </c>
      <c r="B8">
        <v>2.2009228943104761E-3</v>
      </c>
      <c r="C8">
        <v>4.5943793621095629E-4</v>
      </c>
    </row>
    <row r="9" spans="1:7" x14ac:dyDescent="0.25">
      <c r="A9">
        <v>0.77326556392654489</v>
      </c>
      <c r="B9">
        <v>2.6612656013377551E-3</v>
      </c>
      <c r="C9">
        <v>5.6112979779244024E-4</v>
      </c>
    </row>
    <row r="10" spans="1:7" x14ac:dyDescent="0.25">
      <c r="A10">
        <v>0.97741021059377153</v>
      </c>
      <c r="B10">
        <v>3.0563503406466509E-3</v>
      </c>
      <c r="C10">
        <v>6.3614525563040721E-4</v>
      </c>
    </row>
    <row r="11" spans="1:7" x14ac:dyDescent="0.25">
      <c r="A11">
        <v>1.2354497139661971</v>
      </c>
      <c r="B11">
        <v>3.3567364801870571E-3</v>
      </c>
      <c r="C11">
        <v>6.9868647148007591E-4</v>
      </c>
    </row>
    <row r="12" spans="1:7" x14ac:dyDescent="0.25">
      <c r="A12">
        <v>1.561612493092249</v>
      </c>
      <c r="B12">
        <v>3.5864762063430059E-3</v>
      </c>
      <c r="C12">
        <v>7.7099671837099369E-4</v>
      </c>
    </row>
    <row r="13" spans="1:7" x14ac:dyDescent="0.25">
      <c r="A13">
        <v>1.9738833163455749</v>
      </c>
      <c r="B13">
        <v>3.7802045612812161E-3</v>
      </c>
      <c r="C13">
        <v>8.6271712949287794E-4</v>
      </c>
    </row>
    <row r="14" spans="1:7" x14ac:dyDescent="0.25">
      <c r="A14">
        <v>2.4949949899749191</v>
      </c>
      <c r="B14">
        <v>3.9283904783633996E-3</v>
      </c>
      <c r="C14">
        <v>9.6761900048425713E-4</v>
      </c>
    </row>
    <row r="15" spans="1:7" x14ac:dyDescent="0.25">
      <c r="A15">
        <v>3.1536818556857971</v>
      </c>
      <c r="B15">
        <v>3.9749652922359026E-3</v>
      </c>
      <c r="C15">
        <v>1.0469152567125239E-3</v>
      </c>
    </row>
    <row r="16" spans="1:7" x14ac:dyDescent="0.25">
      <c r="A16">
        <v>3.9862642156975991</v>
      </c>
      <c r="B16">
        <v>3.8776962343615778E-3</v>
      </c>
      <c r="C16">
        <v>1.045379823991688E-3</v>
      </c>
    </row>
    <row r="17" spans="1:3" x14ac:dyDescent="0.25">
      <c r="A17">
        <v>5.038651051215723</v>
      </c>
      <c r="B17">
        <v>3.6451720249483979E-3</v>
      </c>
      <c r="C17">
        <v>9.3712518003655828E-4</v>
      </c>
    </row>
    <row r="18" spans="1:3" x14ac:dyDescent="0.25">
      <c r="A18">
        <v>6.3688714651530942</v>
      </c>
      <c r="B18">
        <v>3.4285411608779869E-3</v>
      </c>
      <c r="C18">
        <v>7.9952293297023676E-4</v>
      </c>
    </row>
    <row r="19" spans="1:3" x14ac:dyDescent="0.25">
      <c r="A19">
        <v>8.0502744340381369</v>
      </c>
      <c r="B19">
        <v>3.35912832957397E-3</v>
      </c>
      <c r="C19">
        <v>7.3911398382109144E-4</v>
      </c>
    </row>
    <row r="20" spans="1:3" x14ac:dyDescent="0.25">
      <c r="A20">
        <v>10.17557330492777</v>
      </c>
      <c r="B20">
        <v>3.3467367633070399E-3</v>
      </c>
      <c r="C20">
        <v>7.6858672537559642E-4</v>
      </c>
    </row>
    <row r="21" spans="1:3" x14ac:dyDescent="0.25">
      <c r="A21">
        <v>12.861958052779119</v>
      </c>
      <c r="B21">
        <v>3.24783908157413E-3</v>
      </c>
      <c r="C21">
        <v>7.9731029604914242E-4</v>
      </c>
    </row>
    <row r="22" spans="1:3" x14ac:dyDescent="0.25">
      <c r="A22">
        <v>16.257557190545342</v>
      </c>
      <c r="B22">
        <v>3.0192341138470719E-3</v>
      </c>
      <c r="C22">
        <v>7.9455441254280921E-4</v>
      </c>
    </row>
    <row r="23" spans="1:3" x14ac:dyDescent="0.25">
      <c r="A23">
        <v>20.549605644744162</v>
      </c>
      <c r="B23">
        <v>2.6881411454914269E-3</v>
      </c>
      <c r="C23">
        <v>7.6800357912155438E-4</v>
      </c>
    </row>
    <row r="24" spans="1:3" x14ac:dyDescent="0.25">
      <c r="A24">
        <v>25.974768976982819</v>
      </c>
      <c r="B24">
        <v>2.489208896681199E-3</v>
      </c>
      <c r="C24">
        <v>8.0009491517567819E-4</v>
      </c>
    </row>
    <row r="25" spans="1:3" x14ac:dyDescent="0.25">
      <c r="A25">
        <v>32.832193233848713</v>
      </c>
      <c r="B25">
        <v>2.8666347661082982E-3</v>
      </c>
      <c r="C25">
        <v>1.182269531904941E-3</v>
      </c>
    </row>
    <row r="26" spans="1:3" x14ac:dyDescent="0.25">
      <c r="A26">
        <v>41.499999999999822</v>
      </c>
      <c r="B26">
        <v>2.9584565607246619E-3</v>
      </c>
      <c r="C26">
        <v>1.683815061982407E-3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6"/>
  <sheetViews>
    <sheetView workbookViewId="0"/>
  </sheetViews>
  <sheetFormatPr baseColWidth="10" defaultColWidth="9.140625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F1" s="1" t="s">
        <v>3</v>
      </c>
      <c r="G1" s="1" t="s">
        <v>4</v>
      </c>
    </row>
    <row r="2" spans="1:7" x14ac:dyDescent="0.25">
      <c r="A2">
        <v>0.14999994</v>
      </c>
      <c r="B2">
        <v>5.7098415903737427E-4</v>
      </c>
      <c r="C2">
        <v>6.9918378475192203E-5</v>
      </c>
      <c r="F2" t="s">
        <v>5</v>
      </c>
      <c r="G2">
        <v>2.17</v>
      </c>
    </row>
    <row r="3" spans="1:7" x14ac:dyDescent="0.25">
      <c r="A3">
        <v>0.18437665727084351</v>
      </c>
      <c r="B3">
        <v>9.775942528469409E-4</v>
      </c>
      <c r="C3">
        <v>1.511531203094964E-4</v>
      </c>
      <c r="F3" t="s">
        <v>6</v>
      </c>
      <c r="G3">
        <v>2.438709371916802</v>
      </c>
    </row>
    <row r="4" spans="1:7" x14ac:dyDescent="0.25">
      <c r="A4">
        <v>0.22663176896184151</v>
      </c>
      <c r="B4">
        <v>1.590975214522223E-3</v>
      </c>
      <c r="C4">
        <v>3.0320144706292689E-4</v>
      </c>
      <c r="F4" t="s">
        <v>7</v>
      </c>
      <c r="G4">
        <v>0.43870937191680248</v>
      </c>
    </row>
    <row r="5" spans="1:7" x14ac:dyDescent="0.25">
      <c r="A5">
        <v>0.27857083137874877</v>
      </c>
      <c r="B5">
        <v>2.604570725735627E-3</v>
      </c>
      <c r="C5">
        <v>5.7638760438322926E-4</v>
      </c>
      <c r="F5" t="s">
        <v>8</v>
      </c>
      <c r="G5">
        <v>0.81639673643056554</v>
      </c>
    </row>
    <row r="6" spans="1:7" x14ac:dyDescent="0.25">
      <c r="A6">
        <v>0.34241319498376799</v>
      </c>
      <c r="B6">
        <v>3.8352716746566291E-3</v>
      </c>
      <c r="C6">
        <v>9.7172657117118046E-4</v>
      </c>
      <c r="F6" t="s">
        <v>9</v>
      </c>
      <c r="G6">
        <v>2.62</v>
      </c>
    </row>
    <row r="7" spans="1:7" x14ac:dyDescent="0.25">
      <c r="A7">
        <v>0.42088683699831281</v>
      </c>
      <c r="B7">
        <v>5.1579207590718504E-3</v>
      </c>
      <c r="C7">
        <v>1.4494700794974271E-3</v>
      </c>
      <c r="F7" t="s">
        <v>10</v>
      </c>
      <c r="G7">
        <v>4.5034482697282714</v>
      </c>
    </row>
    <row r="8" spans="1:7" x14ac:dyDescent="0.25">
      <c r="A8">
        <v>0.51734492757161976</v>
      </c>
      <c r="B8">
        <v>6.5278558790298688E-3</v>
      </c>
      <c r="C8">
        <v>1.992816975081824E-3</v>
      </c>
    </row>
    <row r="9" spans="1:7" x14ac:dyDescent="0.25">
      <c r="A9">
        <v>0.63590911037485665</v>
      </c>
      <c r="B9">
        <v>7.6454701621748557E-3</v>
      </c>
      <c r="C9">
        <v>2.501136760633594E-3</v>
      </c>
    </row>
    <row r="10" spans="1:7" x14ac:dyDescent="0.25">
      <c r="A10">
        <v>0.78164561998486082</v>
      </c>
      <c r="B10">
        <v>8.6098979336311394E-3</v>
      </c>
      <c r="C10">
        <v>2.952331938894145E-3</v>
      </c>
    </row>
    <row r="11" spans="1:7" x14ac:dyDescent="0.25">
      <c r="A11">
        <v>0.96078176153406891</v>
      </c>
      <c r="B11">
        <v>9.5451027645605639E-3</v>
      </c>
      <c r="C11">
        <v>3.3825682504245382E-3</v>
      </c>
    </row>
    <row r="12" spans="1:7" x14ac:dyDescent="0.25">
      <c r="A12">
        <v>1.1809720027784301</v>
      </c>
      <c r="B12">
        <v>1.061857933306801E-2</v>
      </c>
      <c r="C12">
        <v>3.8834290364239952E-3</v>
      </c>
    </row>
    <row r="13" spans="1:7" x14ac:dyDescent="0.25">
      <c r="A13">
        <v>1.451625048668288</v>
      </c>
      <c r="B13">
        <v>1.183784467899948E-2</v>
      </c>
      <c r="C13">
        <v>4.553070928482751E-3</v>
      </c>
    </row>
    <row r="14" spans="1:7" x14ac:dyDescent="0.25">
      <c r="A14">
        <v>1.7843058742829121</v>
      </c>
      <c r="B14">
        <v>1.2662333282126461E-2</v>
      </c>
      <c r="C14">
        <v>5.2519256525031836E-3</v>
      </c>
    </row>
    <row r="15" spans="1:7" x14ac:dyDescent="0.25">
      <c r="A15">
        <v>2.1932298949520459</v>
      </c>
      <c r="B15">
        <v>1.295143971984121E-2</v>
      </c>
      <c r="C15">
        <v>5.8031391793490839E-3</v>
      </c>
    </row>
    <row r="16" spans="1:7" x14ac:dyDescent="0.25">
      <c r="A16">
        <v>2.6958703893997669</v>
      </c>
      <c r="B16">
        <v>1.273983528782793E-2</v>
      </c>
      <c r="C16">
        <v>6.0239279891239877E-3</v>
      </c>
    </row>
    <row r="17" spans="1:3" x14ac:dyDescent="0.25">
      <c r="A17">
        <v>3.3137051310352268</v>
      </c>
      <c r="B17">
        <v>1.2398413350122791E-2</v>
      </c>
      <c r="C17">
        <v>5.9207396468055557E-3</v>
      </c>
    </row>
    <row r="18" spans="1:3" x14ac:dyDescent="0.25">
      <c r="A18">
        <v>4.0731341308637692</v>
      </c>
      <c r="B18">
        <v>1.200783742234217E-2</v>
      </c>
      <c r="C18">
        <v>5.5892836810032863E-3</v>
      </c>
    </row>
    <row r="19" spans="1:3" x14ac:dyDescent="0.25">
      <c r="A19">
        <v>5.0066077070727104</v>
      </c>
      <c r="B19">
        <v>1.1360622966298511E-2</v>
      </c>
      <c r="C19">
        <v>5.1454051973366449E-3</v>
      </c>
    </row>
    <row r="20" spans="1:3" x14ac:dyDescent="0.25">
      <c r="A20">
        <v>6.15401308358196</v>
      </c>
      <c r="B20">
        <v>1.019919089522258E-2</v>
      </c>
      <c r="C20">
        <v>4.5519166355149103E-3</v>
      </c>
    </row>
    <row r="21" spans="1:3" x14ac:dyDescent="0.25">
      <c r="A21">
        <v>7.5643787667640279</v>
      </c>
      <c r="B21">
        <v>8.9728236311408163E-3</v>
      </c>
      <c r="C21">
        <v>3.9746250452974202E-3</v>
      </c>
    </row>
    <row r="22" spans="1:3" x14ac:dyDescent="0.25">
      <c r="A22">
        <v>9.2979695281644528</v>
      </c>
      <c r="B22">
        <v>8.3026849405276083E-3</v>
      </c>
      <c r="C22">
        <v>3.6622588572805641E-3</v>
      </c>
    </row>
    <row r="23" spans="1:3" x14ac:dyDescent="0.25">
      <c r="A23">
        <v>11.42886151160543</v>
      </c>
      <c r="B23">
        <v>8.3341327078192209E-3</v>
      </c>
      <c r="C23">
        <v>3.6177324861314361E-3</v>
      </c>
    </row>
    <row r="24" spans="1:3" x14ac:dyDescent="0.25">
      <c r="A24">
        <v>14.04810749871773</v>
      </c>
      <c r="B24">
        <v>8.8306850103393279E-3</v>
      </c>
      <c r="C24">
        <v>3.7683013607793269E-3</v>
      </c>
    </row>
    <row r="25" spans="1:3" x14ac:dyDescent="0.25">
      <c r="A25">
        <v>17.267627584351331</v>
      </c>
      <c r="B25">
        <v>8.7148284464625258E-3</v>
      </c>
      <c r="C25">
        <v>3.8874163120532902E-3</v>
      </c>
    </row>
    <row r="26" spans="1:3" x14ac:dyDescent="0.25">
      <c r="A26">
        <v>21.224991509999999</v>
      </c>
      <c r="B26">
        <v>9.6683794669994768E-3</v>
      </c>
      <c r="C26">
        <v>5.5994376836721888E-3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6"/>
  <sheetViews>
    <sheetView workbookViewId="0"/>
  </sheetViews>
  <sheetFormatPr baseColWidth="10" defaultColWidth="9.140625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F1" s="1" t="s">
        <v>3</v>
      </c>
      <c r="G1" s="1" t="s">
        <v>4</v>
      </c>
    </row>
    <row r="2" spans="1:7" x14ac:dyDescent="0.25">
      <c r="A2">
        <v>0.14999999999999941</v>
      </c>
      <c r="B2">
        <v>1.5976849484266829E-3</v>
      </c>
      <c r="C2">
        <v>2.03908351547267E-4</v>
      </c>
      <c r="F2" t="s">
        <v>5</v>
      </c>
      <c r="G2">
        <v>2.2200000000000002</v>
      </c>
    </row>
    <row r="3" spans="1:7" x14ac:dyDescent="0.25">
      <c r="A3">
        <v>0.18411927459745481</v>
      </c>
      <c r="B3">
        <v>2.6384829348110751E-3</v>
      </c>
      <c r="C3">
        <v>3.8168175125887789E-4</v>
      </c>
      <c r="F3" t="s">
        <v>6</v>
      </c>
      <c r="G3">
        <v>2.5032162764649919</v>
      </c>
    </row>
    <row r="4" spans="1:7" x14ac:dyDescent="0.25">
      <c r="A4">
        <v>0.22599938185528731</v>
      </c>
      <c r="B4">
        <v>4.1194963550360902E-3</v>
      </c>
      <c r="C4">
        <v>6.6103855927882602E-4</v>
      </c>
      <c r="F4" t="s">
        <v>7</v>
      </c>
      <c r="G4">
        <v>0.50321627646499212</v>
      </c>
    </row>
    <row r="5" spans="1:7" x14ac:dyDescent="0.25">
      <c r="A5">
        <v>0.27740561497779243</v>
      </c>
      <c r="B5">
        <v>6.4595912357814939E-3</v>
      </c>
      <c r="C5">
        <v>1.0798057336370869E-3</v>
      </c>
      <c r="F5" t="s">
        <v>8</v>
      </c>
      <c r="G5">
        <v>0.95305608330007729</v>
      </c>
    </row>
    <row r="6" spans="1:7" x14ac:dyDescent="0.25">
      <c r="A6">
        <v>0.34050480399314792</v>
      </c>
      <c r="B6">
        <v>9.2222805010689184E-3</v>
      </c>
      <c r="C6">
        <v>1.626973707640779E-3</v>
      </c>
      <c r="F6" t="s">
        <v>9</v>
      </c>
      <c r="G6">
        <v>2.57</v>
      </c>
    </row>
    <row r="7" spans="1:7" x14ac:dyDescent="0.25">
      <c r="A7">
        <v>0.41795665005444771</v>
      </c>
      <c r="B7">
        <v>1.218323023415803E-2</v>
      </c>
      <c r="C7">
        <v>2.3334666871593318E-3</v>
      </c>
      <c r="F7" t="s">
        <v>10</v>
      </c>
      <c r="G7">
        <v>4.0159132731442249</v>
      </c>
    </row>
    <row r="8" spans="1:7" x14ac:dyDescent="0.25">
      <c r="A8">
        <v>0.51302583480804986</v>
      </c>
      <c r="B8">
        <v>1.523383861771461E-2</v>
      </c>
      <c r="C8">
        <v>3.2243979539868491E-3</v>
      </c>
    </row>
    <row r="9" spans="1:7" x14ac:dyDescent="0.25">
      <c r="A9">
        <v>0.62971963036408152</v>
      </c>
      <c r="B9">
        <v>1.7545290554142549E-2</v>
      </c>
      <c r="C9">
        <v>4.1516253427528677E-3</v>
      </c>
    </row>
    <row r="10" spans="1:7" x14ac:dyDescent="0.25">
      <c r="A10">
        <v>0.77295681028275021</v>
      </c>
      <c r="B10">
        <v>1.91539658099571E-2</v>
      </c>
      <c r="C10">
        <v>5.0254238492136267E-3</v>
      </c>
    </row>
    <row r="11" spans="1:7" x14ac:dyDescent="0.25">
      <c r="A11">
        <v>0.94877498136282012</v>
      </c>
      <c r="B11">
        <v>2.0309424769692139E-2</v>
      </c>
      <c r="C11">
        <v>5.876754749561371E-3</v>
      </c>
    </row>
    <row r="12" spans="1:7" x14ac:dyDescent="0.25">
      <c r="A12">
        <v>1.164585075498245</v>
      </c>
      <c r="B12">
        <v>2.1591961942140241E-2</v>
      </c>
      <c r="C12">
        <v>7.0192120983222353E-3</v>
      </c>
    </row>
    <row r="13" spans="1:7" x14ac:dyDescent="0.25">
      <c r="A13">
        <v>1.429483728718399</v>
      </c>
      <c r="B13">
        <v>2.3503226929476251E-2</v>
      </c>
      <c r="C13">
        <v>8.8855698522980874E-3</v>
      </c>
    </row>
    <row r="14" spans="1:7" x14ac:dyDescent="0.25">
      <c r="A14">
        <v>1.754636714536651</v>
      </c>
      <c r="B14">
        <v>2.650638933109151E-2</v>
      </c>
      <c r="C14">
        <v>1.177175664521319E-2</v>
      </c>
    </row>
    <row r="15" spans="1:7" x14ac:dyDescent="0.25">
      <c r="A15">
        <v>2.153749593750339</v>
      </c>
      <c r="B15">
        <v>2.9672042698948051E-2</v>
      </c>
      <c r="C15">
        <v>1.530118782187846E-2</v>
      </c>
    </row>
    <row r="16" spans="1:7" x14ac:dyDescent="0.25">
      <c r="A16">
        <v>2.6436454191058449</v>
      </c>
      <c r="B16">
        <v>3.2719745033069188E-2</v>
      </c>
      <c r="C16">
        <v>1.9266860488925942E-2</v>
      </c>
    </row>
    <row r="17" spans="1:3" x14ac:dyDescent="0.25">
      <c r="A17">
        <v>3.2449738457243642</v>
      </c>
      <c r="B17">
        <v>3.486469035696374E-2</v>
      </c>
      <c r="C17">
        <v>2.2919484306738489E-2</v>
      </c>
    </row>
    <row r="18" spans="1:3" x14ac:dyDescent="0.25">
      <c r="A18">
        <v>3.9830815370832369</v>
      </c>
      <c r="B18">
        <v>3.5475433255135483E-2</v>
      </c>
      <c r="C18">
        <v>2.5287941050620811E-2</v>
      </c>
    </row>
    <row r="19" spans="1:3" x14ac:dyDescent="0.25">
      <c r="A19">
        <v>4.8890805551352257</v>
      </c>
      <c r="B19">
        <v>3.439252375625796E-2</v>
      </c>
      <c r="C19">
        <v>2.581808940965875E-2</v>
      </c>
    </row>
    <row r="20" spans="1:3" x14ac:dyDescent="0.25">
      <c r="A20">
        <v>6.0011597684001536</v>
      </c>
      <c r="B20">
        <v>3.2389700154547688E-2</v>
      </c>
      <c r="C20">
        <v>2.4515696630532831E-2</v>
      </c>
    </row>
    <row r="21" spans="1:3" x14ac:dyDescent="0.25">
      <c r="A21">
        <v>7.3661945553418011</v>
      </c>
      <c r="B21">
        <v>3.014465085742277E-2</v>
      </c>
      <c r="C21">
        <v>2.221803495914897E-2</v>
      </c>
    </row>
    <row r="22" spans="1:3" x14ac:dyDescent="0.25">
      <c r="A22">
        <v>9.041722653821731</v>
      </c>
      <c r="B22">
        <v>2.8363007272241728E-2</v>
      </c>
      <c r="C22">
        <v>1.9431057731629991E-2</v>
      </c>
    </row>
    <row r="23" spans="1:3" x14ac:dyDescent="0.25">
      <c r="A23">
        <v>11.098369440886909</v>
      </c>
      <c r="B23">
        <v>2.7594893697519891E-2</v>
      </c>
      <c r="C23">
        <v>1.6964790739927401E-2</v>
      </c>
    </row>
    <row r="24" spans="1:3" x14ac:dyDescent="0.25">
      <c r="A24">
        <v>13.622824871137791</v>
      </c>
      <c r="B24">
        <v>2.7716322013981019E-2</v>
      </c>
      <c r="C24">
        <v>1.550329929228318E-2</v>
      </c>
    </row>
    <row r="25" spans="1:3" x14ac:dyDescent="0.25">
      <c r="A25">
        <v>16.721497554947089</v>
      </c>
      <c r="B25">
        <v>3.013851650263635E-2</v>
      </c>
      <c r="C25">
        <v>1.441106097786778E-2</v>
      </c>
    </row>
    <row r="26" spans="1:3" x14ac:dyDescent="0.25">
      <c r="A26">
        <v>20.52499999999991</v>
      </c>
      <c r="B26">
        <v>2.579927032386254E-2</v>
      </c>
      <c r="C26">
        <v>1.2036075487428761E-2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6"/>
  <sheetViews>
    <sheetView workbookViewId="0"/>
  </sheetViews>
  <sheetFormatPr baseColWidth="10" defaultColWidth="9.140625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F1" s="1" t="s">
        <v>3</v>
      </c>
      <c r="G1" s="1" t="s">
        <v>4</v>
      </c>
    </row>
    <row r="2" spans="1:7" x14ac:dyDescent="0.25">
      <c r="A2">
        <v>0.14999999999999941</v>
      </c>
      <c r="B2">
        <v>2.937121297277315E-4</v>
      </c>
      <c r="C2">
        <v>1.290518412633886E-5</v>
      </c>
      <c r="F2" t="s">
        <v>5</v>
      </c>
      <c r="G2">
        <v>3.38</v>
      </c>
    </row>
    <row r="3" spans="1:7" x14ac:dyDescent="0.25">
      <c r="A3">
        <v>0.18393017263007619</v>
      </c>
      <c r="B3">
        <v>5.1534415604506201E-4</v>
      </c>
      <c r="C3">
        <v>2.7559196773528239E-5</v>
      </c>
      <c r="F3" t="s">
        <v>6</v>
      </c>
      <c r="G3">
        <v>2.9132102092135161</v>
      </c>
    </row>
    <row r="4" spans="1:7" x14ac:dyDescent="0.25">
      <c r="A4">
        <v>0.22553538935819861</v>
      </c>
      <c r="B4">
        <v>8.6023533267610725E-4</v>
      </c>
      <c r="C4">
        <v>5.6792684222985393E-5</v>
      </c>
      <c r="F4" t="s">
        <v>7</v>
      </c>
      <c r="G4">
        <v>0.9132102092135157</v>
      </c>
    </row>
    <row r="5" spans="1:7" x14ac:dyDescent="0.25">
      <c r="A5">
        <v>0.2765517539923007</v>
      </c>
      <c r="B5">
        <v>1.4674453618040591E-3</v>
      </c>
      <c r="C5">
        <v>1.1660721791606479E-4</v>
      </c>
      <c r="F5" t="s">
        <v>8</v>
      </c>
      <c r="G5">
        <v>0.96668956795833594</v>
      </c>
    </row>
    <row r="6" spans="1:7" x14ac:dyDescent="0.25">
      <c r="A6">
        <v>0.33910807901969631</v>
      </c>
      <c r="B6">
        <v>2.2727494574804569E-3</v>
      </c>
      <c r="C6">
        <v>2.1367484865526831E-4</v>
      </c>
      <c r="F6" t="s">
        <v>9</v>
      </c>
      <c r="G6">
        <v>0.76</v>
      </c>
    </row>
    <row r="7" spans="1:7" x14ac:dyDescent="0.25">
      <c r="A7">
        <v>0.41581471676231008</v>
      </c>
      <c r="B7">
        <v>3.2435728103850608E-3</v>
      </c>
      <c r="C7">
        <v>3.4765550586382462E-4</v>
      </c>
      <c r="F7" t="s">
        <v>10</v>
      </c>
      <c r="G7">
        <v>3.265859432245692</v>
      </c>
    </row>
    <row r="8" spans="1:7" x14ac:dyDescent="0.25">
      <c r="A8">
        <v>0.50987248424145526</v>
      </c>
      <c r="B8">
        <v>4.2898457932774997E-3</v>
      </c>
      <c r="C8">
        <v>5.0956904851675298E-4</v>
      </c>
    </row>
    <row r="9" spans="1:7" x14ac:dyDescent="0.25">
      <c r="A9">
        <v>0.62520622697238049</v>
      </c>
      <c r="B9">
        <v>5.6390074144238543E-3</v>
      </c>
      <c r="C9">
        <v>7.1641681798117877E-4</v>
      </c>
    </row>
    <row r="10" spans="1:7" x14ac:dyDescent="0.25">
      <c r="A10">
        <v>0.76662859504286041</v>
      </c>
      <c r="B10">
        <v>7.0030514268091147E-3</v>
      </c>
      <c r="C10">
        <v>9.4351546576606148E-4</v>
      </c>
    </row>
    <row r="11" spans="1:7" x14ac:dyDescent="0.25">
      <c r="A11">
        <v>0.94004086552924482</v>
      </c>
      <c r="B11">
        <v>8.4794251474107577E-3</v>
      </c>
      <c r="C11">
        <v>1.2295483606810759E-3</v>
      </c>
    </row>
    <row r="12" spans="1:7" x14ac:dyDescent="0.25">
      <c r="A12">
        <v>1.152679191174139</v>
      </c>
      <c r="B12">
        <v>9.9983474976241427E-3</v>
      </c>
      <c r="C12">
        <v>1.600087435604098E-3</v>
      </c>
    </row>
    <row r="13" spans="1:7" x14ac:dyDescent="0.25">
      <c r="A13">
        <v>1.41341655079838</v>
      </c>
      <c r="B13">
        <v>1.1541501918441411E-2</v>
      </c>
      <c r="C13">
        <v>2.0819760703464159E-3</v>
      </c>
    </row>
    <row r="14" spans="1:7" x14ac:dyDescent="0.25">
      <c r="A14">
        <v>1.7331330012436941</v>
      </c>
      <c r="B14">
        <v>1.327358231994297E-2</v>
      </c>
      <c r="C14">
        <v>2.8098817463814889E-3</v>
      </c>
    </row>
    <row r="15" spans="1:7" x14ac:dyDescent="0.25">
      <c r="A15">
        <v>2.1251696807309068</v>
      </c>
      <c r="B15">
        <v>1.5233641314164039E-2</v>
      </c>
      <c r="C15">
        <v>4.0482469194143339E-3</v>
      </c>
    </row>
    <row r="16" spans="1:7" x14ac:dyDescent="0.25">
      <c r="A16">
        <v>2.605885508300275</v>
      </c>
      <c r="B16">
        <v>1.7341471571970388E-2</v>
      </c>
      <c r="C16">
        <v>5.8534430325833612E-3</v>
      </c>
    </row>
    <row r="17" spans="1:3" x14ac:dyDescent="0.25">
      <c r="A17">
        <v>3.1953398093059029</v>
      </c>
      <c r="B17">
        <v>1.8998614768379642E-2</v>
      </c>
      <c r="C17">
        <v>7.5983134423274253E-3</v>
      </c>
    </row>
    <row r="18" spans="1:3" x14ac:dyDescent="0.25">
      <c r="A18">
        <v>3.9181293515826141</v>
      </c>
      <c r="B18">
        <v>1.9976444139227289E-2</v>
      </c>
      <c r="C18">
        <v>8.7826039385604203E-3</v>
      </c>
    </row>
    <row r="19" spans="1:3" x14ac:dyDescent="0.25">
      <c r="A19">
        <v>4.8044147201570793</v>
      </c>
      <c r="B19">
        <v>2.0331630532070911E-2</v>
      </c>
      <c r="C19">
        <v>9.3482549958960257E-3</v>
      </c>
    </row>
    <row r="20" spans="1:3" x14ac:dyDescent="0.25">
      <c r="A20">
        <v>5.8911788590998322</v>
      </c>
      <c r="B20">
        <v>2.0938821885695739E-2</v>
      </c>
      <c r="C20">
        <v>9.8645624032524613E-3</v>
      </c>
    </row>
    <row r="21" spans="1:3" x14ac:dyDescent="0.25">
      <c r="A21">
        <v>7.2237702969926119</v>
      </c>
      <c r="B21">
        <v>2.3163713659292321E-2</v>
      </c>
      <c r="C21">
        <v>1.113867203092888E-2</v>
      </c>
    </row>
    <row r="22" spans="1:3" x14ac:dyDescent="0.25">
      <c r="A22">
        <v>8.8577954517724944</v>
      </c>
      <c r="B22">
        <v>2.84008708835412E-2</v>
      </c>
      <c r="C22">
        <v>1.465188062895517E-2</v>
      </c>
    </row>
    <row r="23" spans="1:3" x14ac:dyDescent="0.25">
      <c r="A23">
        <v>10.861438977109501</v>
      </c>
      <c r="B23">
        <v>3.6586896775923333E-2</v>
      </c>
      <c r="C23">
        <v>2.146138981585758E-2</v>
      </c>
    </row>
    <row r="24" spans="1:3" x14ac:dyDescent="0.25">
      <c r="A24">
        <v>13.318308973805321</v>
      </c>
      <c r="B24">
        <v>4.647981666686328E-2</v>
      </c>
      <c r="C24">
        <v>3.2477676182263923E-2</v>
      </c>
    </row>
    <row r="25" spans="1:3" x14ac:dyDescent="0.25">
      <c r="A25">
        <v>16.33092579128477</v>
      </c>
      <c r="B25">
        <v>5.8173785615166729E-2</v>
      </c>
      <c r="C25">
        <v>4.5623645444615862E-2</v>
      </c>
    </row>
    <row r="26" spans="1:3" x14ac:dyDescent="0.25">
      <c r="A26">
        <v>20.02499999999991</v>
      </c>
      <c r="B26">
        <v>6.4398666907259774E-2</v>
      </c>
      <c r="C26">
        <v>5.6910431821730223E-2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6"/>
  <sheetViews>
    <sheetView workbookViewId="0"/>
  </sheetViews>
  <sheetFormatPr baseColWidth="10" defaultColWidth="9.140625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F1" s="1" t="s">
        <v>3</v>
      </c>
      <c r="G1" s="1" t="s">
        <v>4</v>
      </c>
    </row>
    <row r="2" spans="1:7" x14ac:dyDescent="0.25">
      <c r="A2">
        <v>0.14999999999999941</v>
      </c>
      <c r="B2">
        <v>3.7930613868984359E-3</v>
      </c>
      <c r="C2">
        <v>4.1040248761259291E-4</v>
      </c>
      <c r="F2" t="s">
        <v>5</v>
      </c>
      <c r="G2">
        <v>2.2000000000000002</v>
      </c>
    </row>
    <row r="3" spans="1:7" x14ac:dyDescent="0.25">
      <c r="A3">
        <v>0.18466118569605361</v>
      </c>
      <c r="B3">
        <v>6.6065772957074591E-3</v>
      </c>
      <c r="C3">
        <v>8.5590194396994372E-4</v>
      </c>
      <c r="F3" t="s">
        <v>6</v>
      </c>
      <c r="G3">
        <v>2.4204196060990948</v>
      </c>
    </row>
    <row r="4" spans="1:7" x14ac:dyDescent="0.25">
      <c r="A4">
        <v>0.2273316900178167</v>
      </c>
      <c r="B4">
        <v>1.04868651129371E-2</v>
      </c>
      <c r="C4">
        <v>1.6050621219542531E-3</v>
      </c>
      <c r="F4" t="s">
        <v>7</v>
      </c>
      <c r="G4">
        <v>0.42041960609909501</v>
      </c>
    </row>
    <row r="5" spans="1:7" x14ac:dyDescent="0.25">
      <c r="A5">
        <v>0.27986226283318621</v>
      </c>
      <c r="B5">
        <v>1.6035442526739791E-2</v>
      </c>
      <c r="C5">
        <v>2.7792735405489872E-3</v>
      </c>
      <c r="F5" t="s">
        <v>8</v>
      </c>
      <c r="G5">
        <v>0.95972448694188572</v>
      </c>
    </row>
    <row r="6" spans="1:7" x14ac:dyDescent="0.25">
      <c r="A6">
        <v>0.34453131524237962</v>
      </c>
      <c r="B6">
        <v>2.133478724640769E-2</v>
      </c>
      <c r="C6">
        <v>4.0554950104845491E-3</v>
      </c>
      <c r="F6" t="s">
        <v>9</v>
      </c>
      <c r="G6">
        <v>0.37</v>
      </c>
    </row>
    <row r="7" spans="1:7" x14ac:dyDescent="0.25">
      <c r="A7">
        <v>0.42414374121385928</v>
      </c>
      <c r="B7">
        <v>2.5422899722419411E-2</v>
      </c>
      <c r="C7">
        <v>5.3050280935298677E-3</v>
      </c>
      <c r="F7" t="s">
        <v>10</v>
      </c>
      <c r="G7">
        <v>1.4755989619378509</v>
      </c>
    </row>
    <row r="8" spans="1:7" x14ac:dyDescent="0.25">
      <c r="A8">
        <v>0.52215257438741103</v>
      </c>
      <c r="B8">
        <v>2.8529412315333121E-2</v>
      </c>
      <c r="C8">
        <v>6.5411063506272977E-3</v>
      </c>
    </row>
    <row r="9" spans="1:7" x14ac:dyDescent="0.25">
      <c r="A9">
        <v>0.64280875667084358</v>
      </c>
      <c r="B9">
        <v>3.04782801398608E-2</v>
      </c>
      <c r="C9">
        <v>7.9629475776870125E-3</v>
      </c>
    </row>
    <row r="10" spans="1:7" x14ac:dyDescent="0.25">
      <c r="A10">
        <v>0.79134551455096269</v>
      </c>
      <c r="B10">
        <v>3.2258878009079263E-2</v>
      </c>
      <c r="C10">
        <v>1.016267890319626E-2</v>
      </c>
    </row>
    <row r="11" spans="1:7" x14ac:dyDescent="0.25">
      <c r="A11">
        <v>0.97420534008156678</v>
      </c>
      <c r="B11">
        <v>3.4520657804632218E-2</v>
      </c>
      <c r="C11">
        <v>1.37513103187343E-2</v>
      </c>
    </row>
    <row r="12" spans="1:7" x14ac:dyDescent="0.25">
      <c r="A12">
        <v>1.1993194214059331</v>
      </c>
      <c r="B12">
        <v>3.7757375311352481E-2</v>
      </c>
      <c r="C12">
        <v>1.8532171120697789E-2</v>
      </c>
    </row>
    <row r="13" spans="1:7" x14ac:dyDescent="0.25">
      <c r="A13">
        <v>1.4764516425675021</v>
      </c>
      <c r="B13">
        <v>4.5591179445511609E-2</v>
      </c>
      <c r="C13">
        <v>2.6256398322835842E-2</v>
      </c>
    </row>
    <row r="14" spans="1:7" x14ac:dyDescent="0.25">
      <c r="A14">
        <v>1.817622072929346</v>
      </c>
      <c r="B14">
        <v>5.9728603466204393E-2</v>
      </c>
      <c r="C14">
        <v>3.9665323409493608E-2</v>
      </c>
    </row>
    <row r="15" spans="1:7" x14ac:dyDescent="0.25">
      <c r="A15">
        <v>2.237628314229688</v>
      </c>
      <c r="B15">
        <v>8.07432811985489E-2</v>
      </c>
      <c r="C15">
        <v>6.108375044720589E-2</v>
      </c>
    </row>
    <row r="16" spans="1:7" x14ac:dyDescent="0.25">
      <c r="A16">
        <v>2.7546873176847821</v>
      </c>
      <c r="B16">
        <v>0.10518949093785369</v>
      </c>
      <c r="C16">
        <v>8.886858910425649E-2</v>
      </c>
    </row>
    <row r="17" spans="1:3" x14ac:dyDescent="0.25">
      <c r="A17">
        <v>3.3912255087037009</v>
      </c>
      <c r="B17">
        <v>0.12762249694088509</v>
      </c>
      <c r="C17">
        <v>0.11824265779518831</v>
      </c>
    </row>
    <row r="18" spans="1:3" x14ac:dyDescent="0.25">
      <c r="A18">
        <v>4.1748514893328714</v>
      </c>
      <c r="B18">
        <v>0.14306129549238569</v>
      </c>
      <c r="C18">
        <v>0.14297444287686109</v>
      </c>
    </row>
    <row r="19" spans="1:3" x14ac:dyDescent="0.25">
      <c r="A19">
        <v>5.1395535075009766</v>
      </c>
      <c r="B19">
        <v>0.1487986363283626</v>
      </c>
      <c r="C19">
        <v>0.15775053897247909</v>
      </c>
    </row>
    <row r="20" spans="1:3" x14ac:dyDescent="0.25">
      <c r="A20">
        <v>6.3271736309562963</v>
      </c>
      <c r="B20">
        <v>0.14586189858326901</v>
      </c>
      <c r="C20">
        <v>0.16276771453771499</v>
      </c>
    </row>
    <row r="21" spans="1:3" x14ac:dyDescent="0.25">
      <c r="A21">
        <v>7.7892225653146614</v>
      </c>
      <c r="B21">
        <v>0.13666988103871811</v>
      </c>
      <c r="C21">
        <v>0.15563420685762791</v>
      </c>
    </row>
    <row r="22" spans="1:3" x14ac:dyDescent="0.25">
      <c r="A22">
        <v>9.5891138304097829</v>
      </c>
      <c r="B22">
        <v>0.1230891959852926</v>
      </c>
      <c r="C22">
        <v>0.1426761729106284</v>
      </c>
    </row>
    <row r="23" spans="1:3" x14ac:dyDescent="0.25">
      <c r="A23">
        <v>11.804914197986029</v>
      </c>
      <c r="B23">
        <v>0.1058991542548666</v>
      </c>
      <c r="C23">
        <v>0.1234425956275511</v>
      </c>
    </row>
    <row r="24" spans="1:3" x14ac:dyDescent="0.25">
      <c r="A24">
        <v>14.53272968560189</v>
      </c>
      <c r="B24">
        <v>8.6559584752522012E-2</v>
      </c>
      <c r="C24">
        <v>0.10299193743722</v>
      </c>
    </row>
    <row r="25" spans="1:3" x14ac:dyDescent="0.25">
      <c r="A25">
        <v>17.890873967623289</v>
      </c>
      <c r="B25">
        <v>7.9877340274452591E-2</v>
      </c>
      <c r="C25">
        <v>8.7143698351871537E-2</v>
      </c>
    </row>
    <row r="26" spans="1:3" x14ac:dyDescent="0.25">
      <c r="A26">
        <v>22.02499999999992</v>
      </c>
      <c r="B26">
        <v>8.2550926506237132E-2</v>
      </c>
      <c r="C26">
        <v>7.8634312189316852E-2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6"/>
  <sheetViews>
    <sheetView workbookViewId="0"/>
  </sheetViews>
  <sheetFormatPr baseColWidth="10" defaultColWidth="9.140625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F1" s="1" t="s">
        <v>3</v>
      </c>
      <c r="G1" s="1" t="s">
        <v>4</v>
      </c>
    </row>
    <row r="2" spans="1:7" x14ac:dyDescent="0.25">
      <c r="A2">
        <v>0.14999999999999941</v>
      </c>
      <c r="B2">
        <v>2.8819140580988271E-3</v>
      </c>
      <c r="C2">
        <v>3.712982965034167E-4</v>
      </c>
      <c r="F2" t="s">
        <v>5</v>
      </c>
      <c r="G2">
        <v>2.8</v>
      </c>
    </row>
    <row r="3" spans="1:7" x14ac:dyDescent="0.25">
      <c r="A3">
        <v>0.18369718425377171</v>
      </c>
      <c r="B3">
        <v>5.1360592304447233E-3</v>
      </c>
      <c r="C3">
        <v>8.0247923980797126E-4</v>
      </c>
      <c r="F3" t="s">
        <v>6</v>
      </c>
      <c r="G3">
        <v>2.89087468662659</v>
      </c>
    </row>
    <row r="4" spans="1:7" x14ac:dyDescent="0.25">
      <c r="A4">
        <v>0.22496437001842859</v>
      </c>
      <c r="B4">
        <v>8.4825520096369483E-3</v>
      </c>
      <c r="C4">
        <v>1.5839962509104489E-3</v>
      </c>
      <c r="F4" t="s">
        <v>7</v>
      </c>
      <c r="G4">
        <v>0.89087468662658975</v>
      </c>
    </row>
    <row r="5" spans="1:7" x14ac:dyDescent="0.25">
      <c r="A5">
        <v>0.27550214219872748</v>
      </c>
      <c r="B5">
        <v>1.3804722536627061E-2</v>
      </c>
      <c r="C5">
        <v>2.9163020787935021E-3</v>
      </c>
      <c r="F5" t="s">
        <v>8</v>
      </c>
      <c r="G5">
        <v>0.99292712902051761</v>
      </c>
    </row>
    <row r="6" spans="1:7" x14ac:dyDescent="0.25">
      <c r="A6">
        <v>0.33739311851859111</v>
      </c>
      <c r="B6">
        <v>1.989438023679552E-2</v>
      </c>
      <c r="C6">
        <v>4.6111843618985779E-3</v>
      </c>
      <c r="F6" t="s">
        <v>9</v>
      </c>
      <c r="G6">
        <v>0.98</v>
      </c>
    </row>
    <row r="7" spans="1:7" x14ac:dyDescent="0.25">
      <c r="A7">
        <v>0.41318777238976351</v>
      </c>
      <c r="B7">
        <v>2.5996680746516811E-2</v>
      </c>
      <c r="C7">
        <v>6.5059714130218608E-3</v>
      </c>
      <c r="F7" t="s">
        <v>10</v>
      </c>
      <c r="G7">
        <v>4.6856631924467882</v>
      </c>
    </row>
    <row r="8" spans="1:7" x14ac:dyDescent="0.25">
      <c r="A8">
        <v>0.5060095357072546</v>
      </c>
      <c r="B8">
        <v>3.1290507783604371E-2</v>
      </c>
      <c r="C8">
        <v>8.3298358904569537E-3</v>
      </c>
    </row>
    <row r="9" spans="1:7" x14ac:dyDescent="0.25">
      <c r="A9">
        <v>0.61968351276654265</v>
      </c>
      <c r="B9">
        <v>3.6960626009419358E-2</v>
      </c>
      <c r="C9">
        <v>1.048644475920945E-2</v>
      </c>
    </row>
    <row r="10" spans="1:7" x14ac:dyDescent="0.25">
      <c r="A10">
        <v>0.75889410949133695</v>
      </c>
      <c r="B10">
        <v>4.1629893317340537E-2</v>
      </c>
      <c r="C10">
        <v>1.272430811312737E-2</v>
      </c>
    </row>
    <row r="11" spans="1:7" x14ac:dyDescent="0.25">
      <c r="A11">
        <v>0.92937807373555137</v>
      </c>
      <c r="B11">
        <v>4.8871479173624548E-2</v>
      </c>
      <c r="C11">
        <v>1.625516979942097E-2</v>
      </c>
    </row>
    <row r="12" spans="1:7" x14ac:dyDescent="0.25">
      <c r="A12">
        <v>1.138160901682771</v>
      </c>
      <c r="B12">
        <v>5.9571128132306687E-2</v>
      </c>
      <c r="C12">
        <v>2.2332208554343091E-2</v>
      </c>
    </row>
    <row r="13" spans="1:7" x14ac:dyDescent="0.25">
      <c r="A13">
        <v>1.393846352445733</v>
      </c>
      <c r="B13">
        <v>7.4210807437150347E-2</v>
      </c>
      <c r="C13">
        <v>3.2523432059093547E-2</v>
      </c>
    </row>
    <row r="14" spans="1:7" x14ac:dyDescent="0.25">
      <c r="A14">
        <v>1.706971001511149</v>
      </c>
      <c r="B14">
        <v>9.3328361189309608E-2</v>
      </c>
      <c r="C14">
        <v>4.770531921294234E-2</v>
      </c>
    </row>
    <row r="15" spans="1:7" x14ac:dyDescent="0.25">
      <c r="A15">
        <v>2.0904384438696009</v>
      </c>
      <c r="B15">
        <v>0.1154341404456793</v>
      </c>
      <c r="C15">
        <v>6.6376418836897155E-2</v>
      </c>
    </row>
    <row r="16" spans="1:7" x14ac:dyDescent="0.25">
      <c r="A16">
        <v>2.5600510399645562</v>
      </c>
      <c r="B16">
        <v>0.1373427032867853</v>
      </c>
      <c r="C16">
        <v>8.5361584480012034E-2</v>
      </c>
    </row>
    <row r="17" spans="1:3" x14ac:dyDescent="0.25">
      <c r="A17">
        <v>3.1351611172495391</v>
      </c>
      <c r="B17">
        <v>0.15493335573081279</v>
      </c>
      <c r="C17">
        <v>0.1007695223014282</v>
      </c>
    </row>
    <row r="18" spans="1:3" x14ac:dyDescent="0.25">
      <c r="A18">
        <v>3.8394684628043452</v>
      </c>
      <c r="B18">
        <v>0.16158050033683641</v>
      </c>
      <c r="C18">
        <v>0.1085811905559924</v>
      </c>
    </row>
    <row r="19" spans="1:3" x14ac:dyDescent="0.25">
      <c r="A19">
        <v>4.7019969709887883</v>
      </c>
      <c r="B19">
        <v>0.15804718295374459</v>
      </c>
      <c r="C19">
        <v>0.1080451056173625</v>
      </c>
    </row>
    <row r="20" spans="1:3" x14ac:dyDescent="0.25">
      <c r="A20">
        <v>5.758290692936054</v>
      </c>
      <c r="B20">
        <v>0.15208920313591029</v>
      </c>
      <c r="C20">
        <v>0.1055097786474001</v>
      </c>
    </row>
    <row r="21" spans="1:3" x14ac:dyDescent="0.25">
      <c r="A21">
        <v>7.0518785760470486</v>
      </c>
      <c r="B21">
        <v>0.14934950178539069</v>
      </c>
      <c r="C21">
        <v>0.1099829818517114</v>
      </c>
    </row>
    <row r="22" spans="1:3" x14ac:dyDescent="0.25">
      <c r="A22">
        <v>8.6360682541289684</v>
      </c>
      <c r="B22">
        <v>0.14901817137177331</v>
      </c>
      <c r="C22">
        <v>0.12308571663435559</v>
      </c>
    </row>
    <row r="23" spans="1:3" x14ac:dyDescent="0.25">
      <c r="A23">
        <v>10.576142808712561</v>
      </c>
      <c r="B23">
        <v>0.1459209438342001</v>
      </c>
      <c r="C23">
        <v>0.13468508307002519</v>
      </c>
    </row>
    <row r="24" spans="1:3" x14ac:dyDescent="0.25">
      <c r="A24">
        <v>12.952051028175211</v>
      </c>
      <c r="B24">
        <v>0.13661980875879151</v>
      </c>
      <c r="C24">
        <v>0.13923653010222839</v>
      </c>
    </row>
    <row r="25" spans="1:3" x14ac:dyDescent="0.25">
      <c r="A25">
        <v>15.8617020279131</v>
      </c>
      <c r="B25">
        <v>0.13198278765700991</v>
      </c>
      <c r="C25">
        <v>0.13867476407404511</v>
      </c>
    </row>
    <row r="26" spans="1:3" x14ac:dyDescent="0.25">
      <c r="A26">
        <v>19.42499999999993</v>
      </c>
      <c r="B26">
        <v>0.1190113268224253</v>
      </c>
      <c r="C26">
        <v>0.1228269260318353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6"/>
  <sheetViews>
    <sheetView workbookViewId="0"/>
  </sheetViews>
  <sheetFormatPr baseColWidth="10" defaultColWidth="9.140625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F1" s="1" t="s">
        <v>3</v>
      </c>
      <c r="G1" s="1" t="s">
        <v>4</v>
      </c>
    </row>
    <row r="2" spans="1:7" x14ac:dyDescent="0.25">
      <c r="A2">
        <v>0.14999999999999941</v>
      </c>
      <c r="B2">
        <v>49239.463205038628</v>
      </c>
      <c r="C2">
        <v>59904.353599366332</v>
      </c>
      <c r="F2" t="s">
        <v>5</v>
      </c>
      <c r="G2">
        <v>2.41</v>
      </c>
    </row>
    <row r="3" spans="1:7" x14ac:dyDescent="0.25">
      <c r="A3">
        <v>0.18448458697552211</v>
      </c>
      <c r="B3">
        <v>39651.682375079843</v>
      </c>
      <c r="C3">
        <v>49938.559436104893</v>
      </c>
      <c r="F3" t="s">
        <v>6</v>
      </c>
      <c r="G3">
        <v>8.990283985943881E-2</v>
      </c>
    </row>
    <row r="4" spans="1:7" x14ac:dyDescent="0.25">
      <c r="A4">
        <v>0.22689708554352739</v>
      </c>
      <c r="B4">
        <v>30086.646824155461</v>
      </c>
      <c r="C4">
        <v>39250.637060660039</v>
      </c>
      <c r="F4" t="s">
        <v>7</v>
      </c>
      <c r="G4">
        <v>-1.910097160140561</v>
      </c>
    </row>
    <row r="5" spans="1:7" x14ac:dyDescent="0.25">
      <c r="A5">
        <v>0.2790601007496501</v>
      </c>
      <c r="B5">
        <v>21951.72563300014</v>
      </c>
      <c r="C5">
        <v>28883.270012243891</v>
      </c>
      <c r="F5" t="s">
        <v>8</v>
      </c>
      <c r="G5">
        <v>0.99994276304142726</v>
      </c>
    </row>
    <row r="6" spans="1:7" x14ac:dyDescent="0.25">
      <c r="A6">
        <v>0.34321524952097993</v>
      </c>
      <c r="B6">
        <v>15467.11807886604</v>
      </c>
      <c r="C6">
        <v>20754.22987307682</v>
      </c>
      <c r="F6" t="s">
        <v>9</v>
      </c>
      <c r="G6">
        <v>1.1000000000000001</v>
      </c>
    </row>
    <row r="7" spans="1:7" x14ac:dyDescent="0.25">
      <c r="A7">
        <v>0.42211949034385993</v>
      </c>
      <c r="B7">
        <v>10604.287177086409</v>
      </c>
      <c r="C7">
        <v>14342.080399136081</v>
      </c>
      <c r="F7" t="s">
        <v>10</v>
      </c>
      <c r="G7">
        <v>2.8011269984173581</v>
      </c>
    </row>
    <row r="8" spans="1:7" x14ac:dyDescent="0.25">
      <c r="A8">
        <v>0.5191635988693678</v>
      </c>
      <c r="B8">
        <v>7158.7186250187679</v>
      </c>
      <c r="C8">
        <v>9779.176698402749</v>
      </c>
    </row>
    <row r="9" spans="1:7" x14ac:dyDescent="0.25">
      <c r="A9">
        <v>0.63851788073427551</v>
      </c>
      <c r="B9">
        <v>4819.2642257474154</v>
      </c>
      <c r="C9">
        <v>6592.4301413834164</v>
      </c>
    </row>
    <row r="10" spans="1:7" x14ac:dyDescent="0.25">
      <c r="A10">
        <v>0.78531138335832662</v>
      </c>
      <c r="B10">
        <v>3254.1959485904299</v>
      </c>
      <c r="C10">
        <v>4444.4677788812787</v>
      </c>
    </row>
    <row r="11" spans="1:7" x14ac:dyDescent="0.25">
      <c r="A11">
        <v>0.9658523080402488</v>
      </c>
      <c r="B11">
        <v>2200.51687495633</v>
      </c>
      <c r="C11">
        <v>3001.008820875742</v>
      </c>
    </row>
    <row r="12" spans="1:7" x14ac:dyDescent="0.25">
      <c r="A12">
        <v>1.1878990941877381</v>
      </c>
      <c r="B12">
        <v>1485.5714449934071</v>
      </c>
      <c r="C12">
        <v>2025.073835737132</v>
      </c>
    </row>
    <row r="13" spans="1:7" x14ac:dyDescent="0.25">
      <c r="A13">
        <v>1.4609938250654839</v>
      </c>
      <c r="B13">
        <v>998.76853715799768</v>
      </c>
      <c r="C13">
        <v>1361.2499090945821</v>
      </c>
    </row>
    <row r="14" spans="1:7" x14ac:dyDescent="0.25">
      <c r="A14">
        <v>1.7968722826066339</v>
      </c>
      <c r="B14">
        <v>668.89853014366759</v>
      </c>
      <c r="C14">
        <v>912.84181888137562</v>
      </c>
    </row>
    <row r="15" spans="1:7" x14ac:dyDescent="0.25">
      <c r="A15">
        <v>2.2099682726963308</v>
      </c>
      <c r="B15">
        <v>446.35455858663471</v>
      </c>
      <c r="C15">
        <v>609.96115006072205</v>
      </c>
    </row>
    <row r="16" spans="1:7" x14ac:dyDescent="0.25">
      <c r="A16">
        <v>2.7180338934492809</v>
      </c>
      <c r="B16">
        <v>297.01044447330838</v>
      </c>
      <c r="C16">
        <v>405.9799222658649</v>
      </c>
    </row>
    <row r="17" spans="1:3" x14ac:dyDescent="0.25">
      <c r="A17">
        <v>3.3429024014564188</v>
      </c>
      <c r="B17">
        <v>197.23731617927839</v>
      </c>
      <c r="C17">
        <v>269.89684547718991</v>
      </c>
    </row>
    <row r="18" spans="1:3" x14ac:dyDescent="0.25">
      <c r="A18">
        <v>4.1114264588811391</v>
      </c>
      <c r="B18">
        <v>130.78804052515969</v>
      </c>
      <c r="C18">
        <v>178.84726560826979</v>
      </c>
    </row>
    <row r="19" spans="1:3" x14ac:dyDescent="0.25">
      <c r="A19">
        <v>5.0566320809794876</v>
      </c>
      <c r="B19">
        <v>86.640900488811766</v>
      </c>
      <c r="C19">
        <v>118.50829664382231</v>
      </c>
    </row>
    <row r="20" spans="1:3" x14ac:dyDescent="0.25">
      <c r="A20">
        <v>6.2191378729778668</v>
      </c>
      <c r="B20">
        <v>57.356332446138119</v>
      </c>
      <c r="C20">
        <v>78.627118813240742</v>
      </c>
    </row>
    <row r="21" spans="1:3" x14ac:dyDescent="0.25">
      <c r="A21">
        <v>7.6489005456010197</v>
      </c>
      <c r="B21">
        <v>37.952417438071301</v>
      </c>
      <c r="C21">
        <v>51.862242391479462</v>
      </c>
    </row>
    <row r="22" spans="1:3" x14ac:dyDescent="0.25">
      <c r="A22">
        <v>9.4073617198137018</v>
      </c>
      <c r="B22">
        <v>25.105365395878369</v>
      </c>
      <c r="C22">
        <v>34.325821196933219</v>
      </c>
    </row>
    <row r="23" spans="1:3" x14ac:dyDescent="0.25">
      <c r="A23">
        <v>11.57008827606116</v>
      </c>
      <c r="B23">
        <v>16.603667560142561</v>
      </c>
      <c r="C23">
        <v>22.767796958022021</v>
      </c>
    </row>
    <row r="24" spans="1:3" x14ac:dyDescent="0.25">
      <c r="A24">
        <v>14.230019712529881</v>
      </c>
      <c r="B24">
        <v>10.979500479585161</v>
      </c>
      <c r="C24">
        <v>15.15721425144454</v>
      </c>
    </row>
    <row r="25" spans="1:3" x14ac:dyDescent="0.25">
      <c r="A25">
        <v>17.50146206213083</v>
      </c>
      <c r="B25">
        <v>8.7543922235722214</v>
      </c>
      <c r="C25">
        <v>10.787842340398431</v>
      </c>
    </row>
    <row r="26" spans="1:3" x14ac:dyDescent="0.25">
      <c r="A26">
        <v>21.52499999999992</v>
      </c>
      <c r="B26">
        <v>6.4389319694637246</v>
      </c>
      <c r="C26">
        <v>7.4959846434138324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6"/>
  <sheetViews>
    <sheetView workbookViewId="0"/>
  </sheetViews>
  <sheetFormatPr baseColWidth="10" defaultColWidth="9.140625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F1" s="1" t="s">
        <v>3</v>
      </c>
      <c r="G1" s="1" t="s">
        <v>4</v>
      </c>
    </row>
    <row r="2" spans="1:7" x14ac:dyDescent="0.25">
      <c r="A2">
        <v>0.14999999999999941</v>
      </c>
      <c r="B2">
        <v>5.1546914747218231E-4</v>
      </c>
      <c r="C2">
        <v>2.890342894249758E-5</v>
      </c>
      <c r="F2" t="s">
        <v>5</v>
      </c>
      <c r="G2">
        <v>2.02</v>
      </c>
    </row>
    <row r="3" spans="1:7" x14ac:dyDescent="0.25">
      <c r="A3">
        <v>0.18561536422182301</v>
      </c>
      <c r="B3">
        <v>9.1538060347715815E-4</v>
      </c>
      <c r="C3">
        <v>6.632638210331706E-5</v>
      </c>
      <c r="F3" t="s">
        <v>6</v>
      </c>
      <c r="G3">
        <v>2.3180701503233521</v>
      </c>
    </row>
    <row r="4" spans="1:7" x14ac:dyDescent="0.25">
      <c r="A4">
        <v>0.22968708956800099</v>
      </c>
      <c r="B4">
        <v>1.512493676701805E-3</v>
      </c>
      <c r="C4">
        <v>1.304508816231989E-4</v>
      </c>
      <c r="F4" t="s">
        <v>7</v>
      </c>
      <c r="G4">
        <v>0.31807015032335201</v>
      </c>
    </row>
    <row r="5" spans="1:7" x14ac:dyDescent="0.25">
      <c r="A5">
        <v>0.28422301858143451</v>
      </c>
      <c r="B5">
        <v>2.4793400081559E-3</v>
      </c>
      <c r="C5">
        <v>2.5538269431519341E-4</v>
      </c>
      <c r="F5" t="s">
        <v>8</v>
      </c>
      <c r="G5">
        <v>0.81366565502468668</v>
      </c>
    </row>
    <row r="6" spans="1:7" x14ac:dyDescent="0.25">
      <c r="A6">
        <v>0.35170772742812739</v>
      </c>
      <c r="B6">
        <v>3.5891478586846139E-3</v>
      </c>
      <c r="C6">
        <v>4.1614752676693412E-4</v>
      </c>
      <c r="F6" t="s">
        <v>9</v>
      </c>
      <c r="G6">
        <v>2.5299999999999998</v>
      </c>
    </row>
    <row r="7" spans="1:7" x14ac:dyDescent="0.25">
      <c r="A7">
        <v>0.43521571950801208</v>
      </c>
      <c r="B7">
        <v>4.6930479553809927E-3</v>
      </c>
      <c r="C7">
        <v>5.9963623456688953E-4</v>
      </c>
      <c r="F7" t="s">
        <v>10</v>
      </c>
      <c r="G7">
        <v>4.9699996171919398</v>
      </c>
    </row>
    <row r="8" spans="1:7" x14ac:dyDescent="0.25">
      <c r="A8">
        <v>0.53855149527695145</v>
      </c>
      <c r="B8">
        <v>5.7697061420206759E-3</v>
      </c>
      <c r="C8">
        <v>7.9001041787642211E-4</v>
      </c>
    </row>
    <row r="9" spans="1:7" x14ac:dyDescent="0.25">
      <c r="A9">
        <v>0.66642287965359437</v>
      </c>
      <c r="B9">
        <v>6.6509454562725086E-3</v>
      </c>
      <c r="C9">
        <v>9.7287256645512202E-4</v>
      </c>
    </row>
    <row r="10" spans="1:7" x14ac:dyDescent="0.25">
      <c r="A10">
        <v>0.82465550355105666</v>
      </c>
      <c r="B10">
        <v>7.1843837728743087E-3</v>
      </c>
      <c r="C10">
        <v>1.1388474064935E-3</v>
      </c>
    </row>
    <row r="11" spans="1:7" x14ac:dyDescent="0.25">
      <c r="A11">
        <v>1.020458210994406</v>
      </c>
      <c r="B11">
        <v>7.6183412680099786E-3</v>
      </c>
      <c r="C11">
        <v>1.309740374285016E-3</v>
      </c>
    </row>
    <row r="12" spans="1:7" x14ac:dyDescent="0.25">
      <c r="A12">
        <v>1.262751483379182</v>
      </c>
      <c r="B12">
        <v>7.9482912723508898E-3</v>
      </c>
      <c r="C12">
        <v>1.4531144181172879E-3</v>
      </c>
    </row>
    <row r="13" spans="1:7" x14ac:dyDescent="0.25">
      <c r="A13">
        <v>1.562573843393833</v>
      </c>
      <c r="B13">
        <v>8.2430761563146698E-3</v>
      </c>
      <c r="C13">
        <v>1.558614164303656E-3</v>
      </c>
    </row>
    <row r="14" spans="1:7" x14ac:dyDescent="0.25">
      <c r="A14">
        <v>1.9335847537669431</v>
      </c>
      <c r="B14">
        <v>8.6228274381603374E-3</v>
      </c>
      <c r="C14">
        <v>1.6629152798693619E-3</v>
      </c>
    </row>
    <row r="15" spans="1:7" x14ac:dyDescent="0.25">
      <c r="A15">
        <v>2.392686922161444</v>
      </c>
      <c r="B15">
        <v>8.9715488810938361E-3</v>
      </c>
      <c r="C15">
        <v>1.763098278488944E-3</v>
      </c>
    </row>
    <row r="16" spans="1:7" x14ac:dyDescent="0.25">
      <c r="A16">
        <v>2.960796363505271</v>
      </c>
      <c r="B16">
        <v>9.2351978700061406E-3</v>
      </c>
      <c r="C16">
        <v>1.8261526974990569E-3</v>
      </c>
    </row>
    <row r="17" spans="1:3" x14ac:dyDescent="0.25">
      <c r="A17">
        <v>3.66379530265788</v>
      </c>
      <c r="B17">
        <v>9.364551410273321E-3</v>
      </c>
      <c r="C17">
        <v>1.836724992677688E-3</v>
      </c>
    </row>
    <row r="18" spans="1:3" x14ac:dyDescent="0.25">
      <c r="A18">
        <v>4.533711330246998</v>
      </c>
      <c r="B18">
        <v>9.2113498882318585E-3</v>
      </c>
      <c r="C18">
        <v>1.8495678262949479E-3</v>
      </c>
    </row>
    <row r="19" spans="1:3" x14ac:dyDescent="0.25">
      <c r="A19">
        <v>5.6101765322693744</v>
      </c>
      <c r="B19">
        <v>8.7465349540027434E-3</v>
      </c>
      <c r="C19">
        <v>1.9343387925081521E-3</v>
      </c>
    </row>
    <row r="20" spans="1:3" x14ac:dyDescent="0.25">
      <c r="A20">
        <v>6.9422330692393821</v>
      </c>
      <c r="B20">
        <v>8.209177225525081E-3</v>
      </c>
      <c r="C20">
        <v>1.9901795105450918E-3</v>
      </c>
    </row>
    <row r="21" spans="1:3" x14ac:dyDescent="0.25">
      <c r="A21">
        <v>8.5905674643977168</v>
      </c>
      <c r="B21">
        <v>8.0262748031104079E-3</v>
      </c>
      <c r="C21">
        <v>2.0001283153992088E-3</v>
      </c>
    </row>
    <row r="22" spans="1:3" x14ac:dyDescent="0.25">
      <c r="A22">
        <v>10.630275391842209</v>
      </c>
      <c r="B22">
        <v>8.3928525699476491E-3</v>
      </c>
      <c r="C22">
        <v>2.1699271011089709E-3</v>
      </c>
    </row>
    <row r="23" spans="1:3" x14ac:dyDescent="0.25">
      <c r="A23">
        <v>13.154282924233881</v>
      </c>
      <c r="B23">
        <v>9.3586941964426545E-3</v>
      </c>
      <c r="C23">
        <v>2.690896033071797E-3</v>
      </c>
    </row>
    <row r="24" spans="1:3" x14ac:dyDescent="0.25">
      <c r="A24">
        <v>16.277580107057251</v>
      </c>
      <c r="B24">
        <v>1.072002542290474E-2</v>
      </c>
      <c r="C24">
        <v>3.5420886861160031E-3</v>
      </c>
    </row>
    <row r="25" spans="1:3" x14ac:dyDescent="0.25">
      <c r="A25">
        <v>20.142459734808959</v>
      </c>
      <c r="B25">
        <v>1.251745721286652E-2</v>
      </c>
      <c r="C25">
        <v>5.1250689274360654E-3</v>
      </c>
    </row>
    <row r="26" spans="1:3" x14ac:dyDescent="0.25">
      <c r="A26">
        <v>24.924999999999908</v>
      </c>
      <c r="B26">
        <v>1.5335138078704409E-2</v>
      </c>
      <c r="C26">
        <v>7.351794336032726E-3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6"/>
  <sheetViews>
    <sheetView workbookViewId="0"/>
  </sheetViews>
  <sheetFormatPr baseColWidth="10" defaultColWidth="9.140625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F1" s="1" t="s">
        <v>3</v>
      </c>
      <c r="G1" s="1" t="s">
        <v>4</v>
      </c>
    </row>
    <row r="2" spans="1:7" x14ac:dyDescent="0.25">
      <c r="A2">
        <v>0.14999999999999941</v>
      </c>
      <c r="B2">
        <v>4.1193340215661964E-3</v>
      </c>
      <c r="C2">
        <v>8.3193100168844425E-4</v>
      </c>
      <c r="F2" t="s">
        <v>5</v>
      </c>
      <c r="G2">
        <v>2.93</v>
      </c>
    </row>
    <row r="3" spans="1:7" x14ac:dyDescent="0.25">
      <c r="A3">
        <v>0.1844487959347374</v>
      </c>
      <c r="B3">
        <v>6.8043623468421856E-3</v>
      </c>
      <c r="C3">
        <v>1.724627950474568E-3</v>
      </c>
      <c r="F3" t="s">
        <v>6</v>
      </c>
      <c r="G3">
        <v>2.6352330495164669</v>
      </c>
    </row>
    <row r="4" spans="1:7" x14ac:dyDescent="0.25">
      <c r="A4">
        <v>0.22680905547849681</v>
      </c>
      <c r="B4">
        <v>1.054209819998945E-2</v>
      </c>
      <c r="C4">
        <v>3.2541534566468441E-3</v>
      </c>
      <c r="F4" t="s">
        <v>7</v>
      </c>
      <c r="G4">
        <v>0.6352330495164672</v>
      </c>
    </row>
    <row r="5" spans="1:7" x14ac:dyDescent="0.25">
      <c r="A5">
        <v>0.27889771460069301</v>
      </c>
      <c r="B5">
        <v>1.6498634226650561E-2</v>
      </c>
      <c r="C5">
        <v>5.6245648379029088E-3</v>
      </c>
      <c r="F5" t="s">
        <v>8</v>
      </c>
      <c r="G5">
        <v>0.94120441978840408</v>
      </c>
    </row>
    <row r="6" spans="1:7" x14ac:dyDescent="0.25">
      <c r="A6">
        <v>0.34294898431365373</v>
      </c>
      <c r="B6">
        <v>2.3673126606454209E-2</v>
      </c>
      <c r="C6">
        <v>8.7392108245050969E-3</v>
      </c>
      <c r="F6" t="s">
        <v>9</v>
      </c>
      <c r="G6">
        <v>2.1</v>
      </c>
    </row>
    <row r="7" spans="1:7" x14ac:dyDescent="0.25">
      <c r="A7">
        <v>0.42171018149129857</v>
      </c>
      <c r="B7">
        <v>3.1500825584498363E-2</v>
      </c>
      <c r="C7">
        <v>1.24179447389633E-2</v>
      </c>
      <c r="F7" t="s">
        <v>10</v>
      </c>
      <c r="G7">
        <v>2.578310078088704</v>
      </c>
    </row>
    <row r="8" spans="1:7" x14ac:dyDescent="0.25">
      <c r="A8">
        <v>0.5185595680632662</v>
      </c>
      <c r="B8">
        <v>3.9930640711739199E-2</v>
      </c>
      <c r="C8">
        <v>1.6697676614316939E-2</v>
      </c>
    </row>
    <row r="9" spans="1:7" x14ac:dyDescent="0.25">
      <c r="A9">
        <v>0.6376512529980487</v>
      </c>
      <c r="B9">
        <v>4.7067084759449367E-2</v>
      </c>
      <c r="C9">
        <v>2.057256442157105E-2</v>
      </c>
    </row>
    <row r="10" spans="1:7" x14ac:dyDescent="0.25">
      <c r="A10">
        <v>0.78409337227844755</v>
      </c>
      <c r="B10">
        <v>5.3253989665841203E-2</v>
      </c>
      <c r="C10">
        <v>2.381815539572631E-2</v>
      </c>
    </row>
    <row r="11" spans="1:7" x14ac:dyDescent="0.25">
      <c r="A11">
        <v>0.96416718944778657</v>
      </c>
      <c r="B11">
        <v>5.8881788866143689E-2</v>
      </c>
      <c r="C11">
        <v>2.665006609189851E-2</v>
      </c>
    </row>
    <row r="12" spans="1:7" x14ac:dyDescent="0.25">
      <c r="A12">
        <v>1.1855965144894991</v>
      </c>
      <c r="B12">
        <v>6.5857449783680078E-2</v>
      </c>
      <c r="C12">
        <v>3.1306461654018528E-2</v>
      </c>
    </row>
    <row r="13" spans="1:7" x14ac:dyDescent="0.25">
      <c r="A13">
        <v>1.457878997080069</v>
      </c>
      <c r="B13">
        <v>7.2752187038637381E-2</v>
      </c>
      <c r="C13">
        <v>3.9080083988293331E-2</v>
      </c>
    </row>
    <row r="14" spans="1:7" x14ac:dyDescent="0.25">
      <c r="A14">
        <v>1.792693504199748</v>
      </c>
      <c r="B14">
        <v>7.9386138851165869E-2</v>
      </c>
      <c r="C14">
        <v>4.8840471309101158E-2</v>
      </c>
    </row>
    <row r="15" spans="1:7" x14ac:dyDescent="0.25">
      <c r="A15">
        <v>2.204401055531132</v>
      </c>
      <c r="B15">
        <v>8.1178748910757756E-2</v>
      </c>
      <c r="C15">
        <v>5.5787057499573141E-2</v>
      </c>
    </row>
    <row r="16" spans="1:7" x14ac:dyDescent="0.25">
      <c r="A16">
        <v>2.7106608029998882</v>
      </c>
      <c r="B16">
        <v>7.7405846818145677E-2</v>
      </c>
      <c r="C16">
        <v>5.8250545257912123E-2</v>
      </c>
    </row>
    <row r="17" spans="1:3" x14ac:dyDescent="0.25">
      <c r="A17">
        <v>3.3331874753387969</v>
      </c>
      <c r="B17">
        <v>7.0189243194377457E-2</v>
      </c>
      <c r="C17">
        <v>5.62908508740501E-2</v>
      </c>
    </row>
    <row r="18" spans="1:3" x14ac:dyDescent="0.25">
      <c r="A18">
        <v>4.0986827763399374</v>
      </c>
      <c r="B18">
        <v>6.5162042075921883E-2</v>
      </c>
      <c r="C18">
        <v>5.2969139804161652E-2</v>
      </c>
    </row>
    <row r="19" spans="1:3" x14ac:dyDescent="0.25">
      <c r="A19">
        <v>5.0399806867623376</v>
      </c>
      <c r="B19">
        <v>6.4813655665526854E-2</v>
      </c>
      <c r="C19">
        <v>5.0445067787304412E-2</v>
      </c>
    </row>
    <row r="20" spans="1:3" x14ac:dyDescent="0.25">
      <c r="A20">
        <v>6.197455794717655</v>
      </c>
      <c r="B20">
        <v>6.6889068741435409E-2</v>
      </c>
      <c r="C20">
        <v>5.0343293693461362E-2</v>
      </c>
    </row>
    <row r="21" spans="1:3" x14ac:dyDescent="0.25">
      <c r="A21">
        <v>7.6207550612962471</v>
      </c>
      <c r="B21">
        <v>6.7912330147921252E-2</v>
      </c>
      <c r="C21">
        <v>5.1065567532949087E-2</v>
      </c>
    </row>
    <row r="22" spans="1:3" x14ac:dyDescent="0.25">
      <c r="A22">
        <v>9.3709273011310206</v>
      </c>
      <c r="B22">
        <v>6.5288096092642384E-2</v>
      </c>
      <c r="C22">
        <v>5.1207939792209001E-2</v>
      </c>
    </row>
    <row r="23" spans="1:3" x14ac:dyDescent="0.25">
      <c r="A23">
        <v>11.52304171657055</v>
      </c>
      <c r="B23">
        <v>5.9705888467537688E-2</v>
      </c>
      <c r="C23">
        <v>4.9536533887254507E-2</v>
      </c>
    </row>
    <row r="24" spans="1:3" x14ac:dyDescent="0.25">
      <c r="A24">
        <v>14.16940780084798</v>
      </c>
      <c r="B24">
        <v>5.2439698012749322E-2</v>
      </c>
      <c r="C24">
        <v>4.5635058747606712E-2</v>
      </c>
    </row>
    <row r="25" spans="1:3" x14ac:dyDescent="0.25">
      <c r="A25">
        <v>17.423534719831281</v>
      </c>
      <c r="B25">
        <v>4.9215818684952319E-2</v>
      </c>
      <c r="C25">
        <v>4.1985978297894848E-2</v>
      </c>
    </row>
    <row r="26" spans="1:3" x14ac:dyDescent="0.25">
      <c r="A26">
        <v>21.424999999999908</v>
      </c>
      <c r="B26">
        <v>4.3755765895207882E-2</v>
      </c>
      <c r="C26">
        <v>3.8556888740179027E-2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6"/>
  <sheetViews>
    <sheetView workbookViewId="0"/>
  </sheetViews>
  <sheetFormatPr baseColWidth="10" defaultColWidth="9.140625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F1" s="1" t="s">
        <v>3</v>
      </c>
      <c r="G1" s="1" t="s">
        <v>4</v>
      </c>
    </row>
    <row r="2" spans="1:7" x14ac:dyDescent="0.25">
      <c r="A2">
        <v>0.14999999999999941</v>
      </c>
      <c r="B2">
        <v>2.9731889639860847E-4</v>
      </c>
      <c r="C2">
        <v>1.9544186044042281E-5</v>
      </c>
      <c r="F2" t="s">
        <v>5</v>
      </c>
      <c r="G2">
        <v>2.42</v>
      </c>
    </row>
    <row r="3" spans="1:7" x14ac:dyDescent="0.25">
      <c r="A3">
        <v>0.18642655509760869</v>
      </c>
      <c r="B3">
        <v>5.230121924080488E-4</v>
      </c>
      <c r="C3">
        <v>4.5421515641105638E-5</v>
      </c>
      <c r="F3" t="s">
        <v>6</v>
      </c>
      <c r="G3">
        <v>2.5299481825389232</v>
      </c>
    </row>
    <row r="4" spans="1:7" x14ac:dyDescent="0.25">
      <c r="A4">
        <v>0.23169906963707909</v>
      </c>
      <c r="B4">
        <v>9.3189375064610998E-4</v>
      </c>
      <c r="C4">
        <v>9.9430496080797536E-5</v>
      </c>
      <c r="F4" t="s">
        <v>7</v>
      </c>
      <c r="G4">
        <v>0.52994818253892317</v>
      </c>
    </row>
    <row r="5" spans="1:7" x14ac:dyDescent="0.25">
      <c r="A5">
        <v>0.28796572914507851</v>
      </c>
      <c r="B5">
        <v>1.4267578226116579E-3</v>
      </c>
      <c r="C5">
        <v>1.8119905300258439E-4</v>
      </c>
      <c r="F5" t="s">
        <v>8</v>
      </c>
      <c r="G5">
        <v>0.96196608023388108</v>
      </c>
    </row>
    <row r="6" spans="1:7" x14ac:dyDescent="0.25">
      <c r="A6">
        <v>0.35789639247125499</v>
      </c>
      <c r="B6">
        <v>2.092411180991717E-3</v>
      </c>
      <c r="C6">
        <v>2.9375247200861409E-4</v>
      </c>
      <c r="F6" t="s">
        <v>9</v>
      </c>
      <c r="G6">
        <v>4.76</v>
      </c>
    </row>
    <row r="7" spans="1:7" x14ac:dyDescent="0.25">
      <c r="A7">
        <v>0.44480927686852051</v>
      </c>
      <c r="B7">
        <v>2.874684506107528E-3</v>
      </c>
      <c r="C7">
        <v>4.2234816909830471E-4</v>
      </c>
      <c r="F7" t="s">
        <v>10</v>
      </c>
      <c r="G7">
        <v>11.207996321189251</v>
      </c>
    </row>
    <row r="8" spans="1:7" x14ac:dyDescent="0.25">
      <c r="A8">
        <v>0.55282840774704711</v>
      </c>
      <c r="B8">
        <v>3.622869522458598E-3</v>
      </c>
      <c r="C8">
        <v>5.4044500786743378E-4</v>
      </c>
    </row>
    <row r="9" spans="1:7" x14ac:dyDescent="0.25">
      <c r="A9">
        <v>0.68707930410919038</v>
      </c>
      <c r="B9">
        <v>4.294714622245387E-3</v>
      </c>
      <c r="C9">
        <v>6.6277870563103542E-4</v>
      </c>
    </row>
    <row r="10" spans="1:7" x14ac:dyDescent="0.25">
      <c r="A10">
        <v>0.85393218495959411</v>
      </c>
      <c r="B10">
        <v>5.0344544100600613E-3</v>
      </c>
      <c r="C10">
        <v>8.2614667690812508E-4</v>
      </c>
    </row>
    <row r="11" spans="1:7" x14ac:dyDescent="0.25">
      <c r="A11">
        <v>1.061304236859945</v>
      </c>
      <c r="B11">
        <v>5.7193978581846008E-3</v>
      </c>
      <c r="C11">
        <v>1.0108222439234749E-3</v>
      </c>
    </row>
    <row r="12" spans="1:7" x14ac:dyDescent="0.25">
      <c r="A12">
        <v>1.3190352852553131</v>
      </c>
      <c r="B12">
        <v>6.3130629192856497E-3</v>
      </c>
      <c r="C12">
        <v>1.220996596701749E-3</v>
      </c>
    </row>
    <row r="13" spans="1:7" x14ac:dyDescent="0.25">
      <c r="A13">
        <v>1.639354695215604</v>
      </c>
      <c r="B13">
        <v>6.8207566177060129E-3</v>
      </c>
      <c r="C13">
        <v>1.477283072244931E-3</v>
      </c>
    </row>
    <row r="14" spans="1:7" x14ac:dyDescent="0.25">
      <c r="A14">
        <v>2.03746165608091</v>
      </c>
      <c r="B14">
        <v>7.2935869090230724E-3</v>
      </c>
      <c r="C14">
        <v>1.7604944809794601E-3</v>
      </c>
    </row>
    <row r="15" spans="1:7" x14ac:dyDescent="0.25">
      <c r="A15">
        <v>2.532246384577562</v>
      </c>
      <c r="B15">
        <v>7.8364691982504998E-3</v>
      </c>
      <c r="C15">
        <v>2.039177676144126E-3</v>
      </c>
    </row>
    <row r="16" spans="1:7" x14ac:dyDescent="0.25">
      <c r="A16">
        <v>3.147186467567809</v>
      </c>
      <c r="B16">
        <v>8.653406384978482E-3</v>
      </c>
      <c r="C16">
        <v>2.3753251538318671E-3</v>
      </c>
    </row>
    <row r="17" spans="1:3" x14ac:dyDescent="0.25">
      <c r="A17">
        <v>3.9114608759898721</v>
      </c>
      <c r="B17">
        <v>9.8723947039869794E-3</v>
      </c>
      <c r="C17">
        <v>2.896349329314239E-3</v>
      </c>
    </row>
    <row r="18" spans="1:3" x14ac:dyDescent="0.25">
      <c r="A18">
        <v>4.8613345100657961</v>
      </c>
      <c r="B18">
        <v>1.128584721138417E-2</v>
      </c>
      <c r="C18">
        <v>3.611955520893495E-3</v>
      </c>
    </row>
    <row r="19" spans="1:3" x14ac:dyDescent="0.25">
      <c r="A19">
        <v>6.0418789725912783</v>
      </c>
      <c r="B19">
        <v>1.2630858239418339E-2</v>
      </c>
      <c r="C19">
        <v>4.4387677159395574E-3</v>
      </c>
    </row>
    <row r="20" spans="1:3" x14ac:dyDescent="0.25">
      <c r="A20">
        <v>7.5091112211791708</v>
      </c>
      <c r="B20">
        <v>1.351739734987532E-2</v>
      </c>
      <c r="C20">
        <v>5.1757976834035614E-3</v>
      </c>
    </row>
    <row r="21" spans="1:3" x14ac:dyDescent="0.25">
      <c r="A21">
        <v>9.3326515787282407</v>
      </c>
      <c r="B21">
        <v>1.3791872413232899E-2</v>
      </c>
      <c r="C21">
        <v>5.8445575957016818E-3</v>
      </c>
    </row>
    <row r="22" spans="1:3" x14ac:dyDescent="0.25">
      <c r="A22">
        <v>11.599027224990479</v>
      </c>
      <c r="B22">
        <v>1.3502222823259691E-2</v>
      </c>
      <c r="C22">
        <v>6.4151261181238104E-3</v>
      </c>
    </row>
    <row r="23" spans="1:3" x14ac:dyDescent="0.25">
      <c r="A23">
        <v>14.41577792025573</v>
      </c>
      <c r="B23">
        <v>1.300616083416836E-2</v>
      </c>
      <c r="C23">
        <v>6.9395213803180329E-3</v>
      </c>
    </row>
    <row r="24" spans="1:3" x14ac:dyDescent="0.25">
      <c r="A24">
        <v>17.916558778169719</v>
      </c>
      <c r="B24">
        <v>1.2282549887237419E-2</v>
      </c>
      <c r="C24">
        <v>7.0491913843282088E-3</v>
      </c>
    </row>
    <row r="25" spans="1:3" x14ac:dyDescent="0.25">
      <c r="A25">
        <v>22.267482214786771</v>
      </c>
      <c r="B25">
        <v>1.188124557533422E-2</v>
      </c>
      <c r="C25">
        <v>6.47796628297162E-3</v>
      </c>
    </row>
    <row r="26" spans="1:3" x14ac:dyDescent="0.25">
      <c r="A26">
        <v>27.67499999999988</v>
      </c>
      <c r="B26">
        <v>1.164608718906553E-2</v>
      </c>
      <c r="C26">
        <v>6.6452860825220424E-3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Resumen</vt:lpstr>
      <vt:lpstr>velac</vt:lpstr>
      <vt:lpstr>dr15</vt:lpstr>
      <vt:lpstr>m16</vt:lpstr>
      <vt:lpstr>m17</vt:lpstr>
      <vt:lpstr>monob1</vt:lpstr>
      <vt:lpstr>monr2</vt:lpstr>
      <vt:lpstr>ngc2264</vt:lpstr>
      <vt:lpstr>ngc6334</vt:lpstr>
      <vt:lpstr>ngc6357</vt:lpstr>
      <vt:lpstr>ngc7538</vt:lpstr>
      <vt:lpstr>rosette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Antonio Nombela Luengo - SEK El Castillo -</cp:lastModifiedBy>
  <dcterms:created xsi:type="dcterms:W3CDTF">2026-08-31T12:38:21Z</dcterms:created>
  <dcterms:modified xsi:type="dcterms:W3CDTF">2026-08-31T19:42:57Z</dcterms:modified>
</cp:coreProperties>
</file>